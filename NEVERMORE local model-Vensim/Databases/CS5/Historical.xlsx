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RIVADO\PROYECTOS LABORATORIO\05.V.16 NEVERMORE\4. Documentación Técnica\4.5 Desarrollo\06_WP6_case_studies\Task_6.5\07_Model\Model_20251003\CS5\"/>
    </mc:Choice>
  </mc:AlternateContent>
  <xr:revisionPtr revIDLastSave="0" documentId="13_ncr:1_{4D281E55-D503-4480-928E-E8A0429821B7}" xr6:coauthVersionLast="36" xr6:coauthVersionMax="36" xr10:uidLastSave="{00000000-0000-0000-0000-000000000000}"/>
  <bookViews>
    <workbookView xWindow="0" yWindow="0" windowWidth="19200" windowHeight="7270" firstSheet="2" activeTab="3" xr2:uid="{169C00B7-61AA-46F4-B12E-C647A116D643}"/>
  </bookViews>
  <sheets>
    <sheet name="Land system" sheetId="4" r:id="rId1"/>
    <sheet name="Crop system" sheetId="3" r:id="rId2"/>
    <sheet name="Population system" sheetId="2" r:id="rId3"/>
    <sheet name="Energy" sheetId="1" r:id="rId4"/>
    <sheet name="Tourism system" sheetId="5" r:id="rId5"/>
    <sheet name="Carbon stock biomass" sheetId="6" r:id="rId6"/>
    <sheet name="Water system" sheetId="7" r:id="rId7"/>
    <sheet name="Floods" sheetId="9" r:id="rId8"/>
    <sheet name="Transport system" sheetId="8" r:id="rId9"/>
  </sheets>
  <definedNames>
    <definedName name="ADAPTATION_DECAY_RATE_1">'Population system'!$B$34</definedName>
    <definedName name="ADAPTATION_EFFICIENCY">'Crop system'!$B$12</definedName>
    <definedName name="ADAPTATION_INVESTMENT_RATE">'Crop system'!$B$25</definedName>
    <definedName name="AGRICULTURAL_DEMAND_RATIO">'Land system'!$B$29</definedName>
    <definedName name="AGRICULTURE_VARIATION">'Water system'!$B$82</definedName>
    <definedName name="ALFA">'Tourism system'!#REF!</definedName>
    <definedName name="ALFA_1">'Tourism system'!#REF!</definedName>
    <definedName name="ALFA_1_AUTUMN">'Tourism system'!$B$49</definedName>
    <definedName name="ALFA_1_SPRING">'Tourism system'!$B$47</definedName>
    <definedName name="ALFA_1_SUMMER">'Tourism system'!$B$45</definedName>
    <definedName name="ALFA_1_WINTER">'Tourism system'!$B$43</definedName>
    <definedName name="ALFA_AUTUMN">'Tourism system'!$B$33</definedName>
    <definedName name="ALFA_BIRTHS">'Population system'!$B$12</definedName>
    <definedName name="ALFA_DEATHS">'Population system'!$B$15</definedName>
    <definedName name="ALFA_EDUCATION">'Population system'!$B$22</definedName>
    <definedName name="ALFA_ENERGY_POVERTY">'Population system'!$B$30</definedName>
    <definedName name="ALFA_POP_HIGHER_65">'Population system'!$B$9</definedName>
    <definedName name="ALFA_POP_LOWER_5">'Population system'!$B$6</definedName>
    <definedName name="ALFA_ROOMS">'Population system'!$B$18</definedName>
    <definedName name="ALFA_SPRING">'Tourism system'!$B$31</definedName>
    <definedName name="ALFA_SUMMER">'Tourism system'!$B$29</definedName>
    <definedName name="ALFA_UNEMPLOYED">'Population system'!$B$25</definedName>
    <definedName name="ALFA_WINTER">'Tourism system'!$B$27</definedName>
    <definedName name="ALPHA_VEHICLE_BUS">'Transport system'!$B$13:$D$13</definedName>
    <definedName name="ALPHA_VEHICLE_CAR">'Transport system'!$B$14:$D$14</definedName>
    <definedName name="ALPHA_VEHICLE_MOTORCYCLE">'Transport system'!$B$15:$D$15</definedName>
    <definedName name="ALPHA_VEHICLE_TRACTOR">'Transport system'!$B$16:$D$16</definedName>
    <definedName name="ALPHA_VEHICLE_TRUCK">'Transport system'!$B$11:$D$11</definedName>
    <definedName name="ALPHA_VEHICLE_VAN">'Transport system'!$B$12:$D$12</definedName>
    <definedName name="AREA_OCCUPIED_BY_SOLAR_PER_MW">Energy!$B$61</definedName>
    <definedName name="AVERAGE_EXPENDITURE_INCREASE">'Tourism system'!$B$59</definedName>
    <definedName name="BASELINE_PRODUCTION">'Crop system'!$B$15:$B$23</definedName>
    <definedName name="BEST_PROGRESS_SCENARIO">Energy!$B$36:$B$39</definedName>
    <definedName name="BETA">'Tourism system'!#REF!</definedName>
    <definedName name="BETA_1">'Tourism system'!#REF!</definedName>
    <definedName name="BETA_1_AUTUMN">'Tourism system'!$B$57</definedName>
    <definedName name="BETA_1_SPRING">'Tourism system'!$B$55</definedName>
    <definedName name="BETA_1_SUMMER">'Tourism system'!$B$53</definedName>
    <definedName name="BETA_1_WINTER">'Tourism system'!$B$51</definedName>
    <definedName name="BETA_AUTUMN">'Tourism system'!$B$41</definedName>
    <definedName name="BETA_BIRTHS">'Population system'!$B$13</definedName>
    <definedName name="BETA_DEATHS">'Population system'!$B$16</definedName>
    <definedName name="BETA_EDUCATION">'Population system'!$B$23</definedName>
    <definedName name="BETA_ENERGY_POVERTY">'Population system'!$B$31</definedName>
    <definedName name="BETA_POP_HIGHER_65">'Population system'!$B$10</definedName>
    <definedName name="BETA_POP_LOWER_5">'Population system'!$B$7</definedName>
    <definedName name="BETA_ROOMS">'Population system'!$B$19</definedName>
    <definedName name="BETA_SPRING">'Tourism system'!$B$39</definedName>
    <definedName name="BETA_SUMMER">'Tourism system'!$B$37</definedName>
    <definedName name="BETA_UNEMPLOYED">'Population system'!$B$26</definedName>
    <definedName name="BETA_VEHICLE_BUS">'Transport system'!$B$21:$D$21</definedName>
    <definedName name="BETA_VEHICLE_CAR">'Transport system'!$B$22:$D$22</definedName>
    <definedName name="BETA_VEHICLE_MOTORCYCLE">'Transport system'!$B$23:$D$23</definedName>
    <definedName name="BETA_VEHICLE_TRACTOR">'Transport system'!$B$24:$D$24</definedName>
    <definedName name="BETA_VEHICLE_TRUCK">'Transport system'!$B$19:$D$19</definedName>
    <definedName name="BETA_VEHICLE_VAN">'Transport system'!$B$20:$D$20</definedName>
    <definedName name="BETA_WINTER">'Tourism system'!$B$35</definedName>
    <definedName name="BIOMASS_ENERGY_CONTENT">Energy!$B$94</definedName>
    <definedName name="BIOMASS_HOURS_PER_YEAR">Energy!#REF!</definedName>
    <definedName name="BIOMASS_PERFORMANCE">Energy!$B$102</definedName>
    <definedName name="BIRTHS">'Population system'!#REF!</definedName>
    <definedName name="BIRTHS_TIME">'Population system'!#REF!</definedName>
    <definedName name="BUILDING_AREA">Energy!$B$81</definedName>
    <definedName name="BUILDING_DETERIORATION_RATE">'Tourism system'!$B$71</definedName>
    <definedName name="CARBON_TRANSFORMATION_CONSTANT">'Carbon stock biomass'!$B$25</definedName>
    <definedName name="CLIMATE_DEPENDANCY">'Tourism system'!#REF!</definedName>
    <definedName name="CO2_FUTURE_DATA">'Carbon stock biomass'!$B$3:$AR$3</definedName>
    <definedName name="CO2_TIME">'Carbon stock biomass'!$B$2:$AR$2</definedName>
    <definedName name="CROP_DISTRIBUTION">'Crop system'!$B$32:$B$40</definedName>
    <definedName name="CROP_RATE">'Crop system'!#REF!</definedName>
    <definedName name="CS_AREA">'Water system'!#REF!</definedName>
    <definedName name="DAYS_INTERNATIONAL_VISITORS">'Water system'!$B$128</definedName>
    <definedName name="DAYS_NATIONAL_VISITORS">'Water system'!$B$126</definedName>
    <definedName name="DEATHS">'Population system'!#REF!</definedName>
    <definedName name="DECAY_COEFFICIENT_FOREST_MANAGEMENT">'Carbon stock biomass'!$B$21</definedName>
    <definedName name="DECAY_GDP_PER_CAPITA_GROWTH_RATE">'Population system'!$B$40</definedName>
    <definedName name="DECAY_RATE_1">'Crop system'!$B$27</definedName>
    <definedName name="DECAY_RATE_2">'Crop system'!$B$29</definedName>
    <definedName name="DELAY_EDUCATION">'Population system'!$B$43</definedName>
    <definedName name="DESALINIZATION">'Water system'!#REF!</definedName>
    <definedName name="DISTANCE">'Land system'!$B$33</definedName>
    <definedName name="DISTANCE_COVERED">'Transport system'!$B$50</definedName>
    <definedName name="DIVERSIFICATION_EFFICIENCY">'Crop system'!$B$10</definedName>
    <definedName name="DROPOUT_RATE">'Crop system'!#REF!</definedName>
    <definedName name="ECOLOGICAL_FLOW">'Water system'!$B$107</definedName>
    <definedName name="EDUCATED_PEOPLE">'Population system'!#REF!</definedName>
    <definedName name="EDUCATED_POPULATION">'Population system'!#REF!</definedName>
    <definedName name="EFFECTS_OF_EXTREME_EVENTS">'Tourism system'!$B$69</definedName>
    <definedName name="ENERGY_CONSUMPTION_VARIATION_FACTOR">Energy!$B$11</definedName>
    <definedName name="EVAPORATION_FROM_STORAGE">'Water system'!$B$101:$B$101</definedName>
    <definedName name="EXECUTION_RATE">'Crop system'!#REF!</definedName>
    <definedName name="EXPANSION_RATIO">'Land system'!$B$31</definedName>
    <definedName name="EXPOSED_CROP_RATE">'Crop system'!$B$44:$AR$44</definedName>
    <definedName name="EXPOSED_CROP_RATE_TIME">'Crop system'!$B$43:$AR$43</definedName>
    <definedName name="FACTOR_HA_TO_KM2">'Carbon stock biomass'!$B$23</definedName>
    <definedName name="FOREST_MORTALITY_COEFFICIENT">'Carbon stock biomass'!$B$29</definedName>
    <definedName name="GAMMA_ROOMS">'Population system'!$B$20</definedName>
    <definedName name="GAMMA_UNEMPLOYED">'Population system'!$B$27</definedName>
    <definedName name="GDP">'Population system'!#REF!</definedName>
    <definedName name="GDP_GROWTH_RATE">'Population system'!#REF!</definedName>
    <definedName name="GDP_PER_CAPITA_GROWTH_RATE">'Population system'!$B$39:$B$39</definedName>
    <definedName name="GOOD_PROGRESS_SCENARIO">Energy!$B$31:$B$34</definedName>
    <definedName name="GRADUAL_PROGRESS_SCENARIO">Energy!$B$26:$B$29</definedName>
    <definedName name="GROWTH_RATE">Energy!#REF!</definedName>
    <definedName name="GROWTH_RATE_COEFFICIENT">Energy!#REF!</definedName>
    <definedName name="HISTORICAL_EXPENDITURE_FOR_INTERNATIONAL_VISITORS">'Tourism system'!$B$61</definedName>
    <definedName name="HISTORICAL_EXPENDITURE_FOR_NATIONAL_VISITORS">'Tourism system'!$B$63</definedName>
    <definedName name="HISTORICAL_INFLATION_RATE">Floods!$B$22</definedName>
    <definedName name="HOURS_IN_A_YEAR">Energy!$B$59</definedName>
    <definedName name="HYDRO_HOURS_PER_YEAR">Energy!#REF!</definedName>
    <definedName name="HYDRO_PERFORMANCE">Energy!$B$115</definedName>
    <definedName name="IMPACT_PERCEPTION">'Tourism system'!#REF!</definedName>
    <definedName name="INCREASE_NON_RENEWABLE_CAPACITY">Energy!$B$128</definedName>
    <definedName name="INDUSTRY_VARIATION">'Water system'!$B$86</definedName>
    <definedName name="INFILTRATION_RATE">'Water system'!$B$97</definedName>
    <definedName name="INFLATION_RATE">Floods!$B$23</definedName>
    <definedName name="INITIAL_AGRICULTURAL_AREA">'Land system'!$B$6</definedName>
    <definedName name="INITIAL_ATTRACTIVENESS">'Tourism system'!$B$65</definedName>
    <definedName name="INITIAL_BIOMASS_CAPACITY">Energy!$B$92</definedName>
    <definedName name="INITIAL_BIOMASS_STOCK">'Carbon stock biomass'!$B$19</definedName>
    <definedName name="INITIAL_CONSUMPTION_PER_CAPITA">Energy!$B$10</definedName>
    <definedName name="INITIAL_DESALINATION">'Water system'!$B$93:$B$93</definedName>
    <definedName name="INITIAL_EMISSION_FACTORS">Energy!$B$41:$B$44</definedName>
    <definedName name="INITIAL_ENERGY_SHARE">Energy!$B$21:$B$24</definedName>
    <definedName name="INITIAL_EXPOSED_CROPS">'Crop system'!$B$47</definedName>
    <definedName name="INITIAL_EXPOSED_POPULATION">'Population system'!$B$46</definedName>
    <definedName name="INITIAL_FOREST_AREA">'Land system'!$B$3</definedName>
    <definedName name="INITIAL_GDP">'Population system'!#REF!</definedName>
    <definedName name="INITIAL_GDP_PER_CAPITA">'Population system'!$B$41</definedName>
    <definedName name="INITIAL_GREEN_URBAN_AREA">'Land system'!$B$27</definedName>
    <definedName name="INITIAL_GROUNDWATER">'Water system'!$B$99</definedName>
    <definedName name="INITIAL_HYDRO_CAPACITY">Energy!$B$105</definedName>
    <definedName name="INITIAL_NON_RENEWABLE_CAPACITY">Energy!$B$118</definedName>
    <definedName name="INITIAL_OTHER_AREA">'Land system'!$B$15</definedName>
    <definedName name="INITIAL_POPULATION">Energy!$B$3</definedName>
    <definedName name="INITIAL_PROTECTED_FOREST_AREA">'Land system'!$B$21</definedName>
    <definedName name="INITIAL_PROTECTED_WETLANDS">'Land system'!$B$24</definedName>
    <definedName name="INITIAL_RATIO_BBE">'Carbon stock biomass'!#REF!</definedName>
    <definedName name="INITIAL_RATIO_BBS">'Carbon stock biomass'!$B$15</definedName>
    <definedName name="INITIAL_RATIO_BNE">'Carbon stock biomass'!$B$17</definedName>
    <definedName name="INITIAL_RATIO_ENERGY_PER_SNOW_PRODUCTION">'Water system'!$B$141</definedName>
    <definedName name="INITIAL_RATIO_TBE">'Carbon stock biomass'!$B$13</definedName>
    <definedName name="INITIAL_RATIO_TBS">'Carbon stock biomass'!$B$11</definedName>
    <definedName name="INITIAL_RATIO_TNE">'Carbon stock biomass'!$B$9</definedName>
    <definedName name="INITIAL_RATIO_WATER_PER_SNOW_PRODUCTION">'Water system'!$B$139</definedName>
    <definedName name="INITIAL_ROOFTOP_CAPACITY">Energy!$B$77</definedName>
    <definedName name="INITIAL_SOIL_MOISTURE">'Water system'!$B$113:$B$124</definedName>
    <definedName name="INITIAL_SOLAR_CAPACITY">Energy!$B$47</definedName>
    <definedName name="INITIAL_STORAGE">'Water system'!$B$109</definedName>
    <definedName name="INITIAL_URBAN_AREA">'Land system'!$B$9</definedName>
    <definedName name="INITIAL_VEHICLES_BUS">'Transport system'!$B$5:$D$5</definedName>
    <definedName name="INITIAL_VEHICLES_CAR">'Transport system'!$B$6:$D$6</definedName>
    <definedName name="INITIAL_VEHICLES_MOTORCYCLE">'Transport system'!$B$7:$D$7</definedName>
    <definedName name="INITIAL_VEHICLES_TRACTOR">'Transport system'!$B$8:$D$8</definedName>
    <definedName name="INITIAL_VEHICLES_TRUCK">'Transport system'!$B$3:$D$3</definedName>
    <definedName name="INITIAL_VEHICLES_VAN">'Transport system'!$B$4:$D$4</definedName>
    <definedName name="INITIAL_WATER_AREA">'Land system'!$B$12</definedName>
    <definedName name="INITIAL_WATER_DEMAND_FROM_AGRICULTURE_PER_CAPITA">'Water system'!$B$81</definedName>
    <definedName name="INITIAL_WATER_DEMAND_FROM_INDUSTRY_PER_CAPITA">'Water system'!$B$85</definedName>
    <definedName name="INITIAL_WATER_DEMAND_FROM_URBAN_PER_CAPITA">'Water system'!$B$89</definedName>
    <definedName name="INITIAL_WATER_TREATMENT">'Water system'!$B$95</definedName>
    <definedName name="INITIAL_WETLANDS_AREA">'Land system'!$B$18</definedName>
    <definedName name="INITIAL_WIND_CAPACITY">Energy!$B$64</definedName>
    <definedName name="KG_TO_TONNES">'Carbon stock biomass'!$B$27</definedName>
    <definedName name="KWH_TO_MWH">Energy!$B$134</definedName>
    <definedName name="LEVEL_1_MURCIA">'Water system'!$B$130</definedName>
    <definedName name="LEVEL_2_MURCIA">'Water system'!$B$131</definedName>
    <definedName name="LEVEL_3_MURCIA">'Water system'!$B$132</definedName>
    <definedName name="LEVEL_4_MURCIA">'Water system'!$B$133</definedName>
    <definedName name="LIFETIME_BIOMASS">Energy!$B$96</definedName>
    <definedName name="LIFETIME_HYDRO">Energy!$B$109</definedName>
    <definedName name="LIFETIME_NON_RENEWABLE">Energy!$B$120</definedName>
    <definedName name="LIFETIME_ROOFTOP">Energy!$B$83</definedName>
    <definedName name="LIFETIME_SOLAR">Energy!$B$51</definedName>
    <definedName name="LIFETIME_WIND">Energy!$B$68</definedName>
    <definedName name="LIMIT_1_VEHICLE_GROWTH_BUS">'Transport system'!$B$29:$D$29</definedName>
    <definedName name="LIMIT_1_VEHICLE_GROWTH_CAR">'Transport system'!$B$30:$D$30</definedName>
    <definedName name="LIMIT_1_VEHICLE_GROWTH_MOTORCYCLE">'Transport system'!$B$31:$D$31</definedName>
    <definedName name="LIMIT_1_VEHICLE_GROWTH_TRACTOR">'Transport system'!$B$32:$D$32</definedName>
    <definedName name="LIMIT_1_VEHICLE_GROWTH_TRUCK">'Transport system'!$B$27:$D$27</definedName>
    <definedName name="LIMIT_1_VEHICLE_GROWTH_VAN">'Transport system'!$B$28:$D$28</definedName>
    <definedName name="LIMIT_2_VEHICLE_GROWTH_BUS">'Transport system'!$B$37:$D$37</definedName>
    <definedName name="LIMIT_2_VEHICLE_GROWTH_CAR">'Transport system'!$B$38:$D$38</definedName>
    <definedName name="LIMIT_2_VEHICLE_GROWTH_MOTORCYCLE">'Transport system'!$B$39:$D$39</definedName>
    <definedName name="LIMIT_2_VEHICLE_GROWTH_TRACTOR">'Transport system'!$B$40:$D$40</definedName>
    <definedName name="LIMIT_2_VEHICLE_GROWTH_TRUCK">'Transport system'!$B$35:$D$35</definedName>
    <definedName name="LIMIT_2_VEHICLE_GROWTH_VAN">'Transport system'!$B$36:$D$36</definedName>
    <definedName name="LIMIT_ENERGY_CONSUMPTION">Energy!$B$12</definedName>
    <definedName name="LIMIT_ENERGY_POVERTY">'Population system'!$B$32</definedName>
    <definedName name="LIMIT_UNEMPLOYED">'Population system'!$B$28</definedName>
    <definedName name="LIMITING_FACTOR_AGRICULTURE">'Water system'!$B$83</definedName>
    <definedName name="LIMITING_FACTOR_INDUSTRY">'Water system'!$B$87</definedName>
    <definedName name="LIMITING_FACTOR_URBAN">'Water system'!$B$91</definedName>
    <definedName name="LITERS_TO_HM3">Energy!$B$138</definedName>
    <definedName name="LOSSES">Energy!#REF!</definedName>
    <definedName name="LOSSES_FACTOR">Energy!$B$18</definedName>
    <definedName name="M3_TO_HM3">'Water system'!$B$60</definedName>
    <definedName name="MARKET_SENSITIVITY_TO_BIOMASS_DEMAND_GROWTH">Energy!#REF!</definedName>
    <definedName name="MARKET_SENSITIVITY_TO_HYDRO_DEMAND_GROWTH">Energy!#REF!</definedName>
    <definedName name="MARKET_SENSITIVITY_TO_NON_RENEWABLE_DEMAND_GROWTH">Energy!#REF!</definedName>
    <definedName name="MARKET_SENSITIVITY_TO_ROOFTOP_DEMAND_GROWTH">Energy!#REF!</definedName>
    <definedName name="MARKET_SENSITIVITY_TO_ROOFTOP_NON_RENEWABLE_GROWTH">Energy!#REF!</definedName>
    <definedName name="MARKET_SENSITIVITY_TO_SOLAR_DEMAND">Energy!#REF!</definedName>
    <definedName name="MARKET_SENSITIVITY_TO_SOLAR_DEMAND_GROWTH">Energy!#REF!</definedName>
    <definedName name="MARKET_SENSITIVITY_TO_WIND_DEMAND_GROWTH">Energy!#REF!</definedName>
    <definedName name="MAX_AREA_BIOMASS">Energy!#REF!</definedName>
    <definedName name="MAX_AREA_HYDRO">Energy!#REF!</definedName>
    <definedName name="MAX_AREA_NON_RENEWABLE">Energy!#REF!</definedName>
    <definedName name="MAX_AREA_ROOFTOP">Energy!#REF!</definedName>
    <definedName name="MAX_AREA_SOLAR">Energy!#REF!</definedName>
    <definedName name="MAX_AREA_WIND">Energy!#REF!</definedName>
    <definedName name="MAX_POTENTIAL_BIOMASS">Energy!#REF!</definedName>
    <definedName name="MAX_POTENTIAL_HYDRO">Energy!$B$107</definedName>
    <definedName name="MAX_POTENTIAL_NON_RENEWABLE">Energy!#REF!</definedName>
    <definedName name="MAX_POTENTIAL_ROOFTOP">Energy!$B$79</definedName>
    <definedName name="MAX_POTENTIAL_SOLAR">Energy!$B$49</definedName>
    <definedName name="MAX_POTENTIAL_WIND">Energy!$B$66</definedName>
    <definedName name="MEAN_FACTOR_OF_USE">'Tourism system'!$B$75</definedName>
    <definedName name="MEAN_TEMPERATURE_SSP245">'Water system'!$B$3:$AR$14</definedName>
    <definedName name="MEAN_TEMPERATURE_SSP245_TIME">'Water system'!$B$2:$AR$2</definedName>
    <definedName name="MEAN_TEMPERATURE_SSP585">'Water system'!$B$17:$AR$28</definedName>
    <definedName name="MEAN_TEMPERATURE_SSP585_TIME">'Water system'!$B$16:$AR$16</definedName>
    <definedName name="MINIMUM_DECOMMISSIONING_BIOMASS">Energy!$B$100</definedName>
    <definedName name="MINIMUM_DECOMMISSIONING_FOR_NEW_BIOMASS_CAPACITY">Energy!$B$98</definedName>
    <definedName name="MINIMUM_DECOMMISSIONING_FOR_NEW_HYDRO_CAPACITY">Energy!$B$111</definedName>
    <definedName name="MINIMUM_DECOMMISSIONING_FOR_NEW_NON_RENEWABLE_CAPACITY">Energy!$B$122</definedName>
    <definedName name="MINIMUM_DECOMMISSIONING_FOR_NEW_ROOFTOP_CAPACITY">Energy!$B$85</definedName>
    <definedName name="MINIMUM_DECOMMISSIONING_FOR_NEW_SOLAR_CAPACITY">Energy!$B$53</definedName>
    <definedName name="MINIMUM_DECOMMISSIONING_FOR_NEW_WIND_CAPACITY">Energy!$B$70</definedName>
    <definedName name="MINIMUM_DECOMMISSIONING_HYDRO">Energy!$B$113</definedName>
    <definedName name="MINIMUM_DECOMMISSIONING_NON_RENEWABLE">Energy!$B$124</definedName>
    <definedName name="MINIMUM_DECOMMISSIONING_ROOFTOP">Energy!$B$87</definedName>
    <definedName name="MINIMUM_DECOMMISSIONING_SOLAR">Energy!$B$55</definedName>
    <definedName name="MINIMUM_DECOMMISSIONING_WIND">Energy!$B$72</definedName>
    <definedName name="MINIMUM_SKI_DEPTH">'Water system'!$B$137</definedName>
    <definedName name="MM_PER_KM2_TO_M3">'Water system'!$B$62</definedName>
    <definedName name="MONTH_DAYS">'Water system'!$B$68:$B$79</definedName>
    <definedName name="MWH_PER_HM3_DESALINATED_WATER">Energy!$B$14</definedName>
    <definedName name="MWH_PER_HM3_TREATED_WATER">Energy!$B$16</definedName>
    <definedName name="NON_RENEWABLE_HOURS_PER_YEAR">Energy!#REF!</definedName>
    <definedName name="NON_RENEWABLE_PERFORMANCE">Energy!$B$126</definedName>
    <definedName name="NUMBER_OF_COLD_WAVES">'Tourism system'!$B$25:$AR$25</definedName>
    <definedName name="NUMBER_OF_DAYS_WITH_EXTREME_PRECIPITATION">'Tourism system'!$B$24:$AR$24</definedName>
    <definedName name="NUMBER_OF_DAYS_WITH_HIGH_WINDS">'Tourism system'!$B$23:$AR$23</definedName>
    <definedName name="NUMBER_OF_HEATWAVES">'Tourism system'!$B$21:$AR$21</definedName>
    <definedName name="NUMBER_OF_ROOMS">'Tourism system'!$B$67</definedName>
    <definedName name="NUMBER_OF_VERY_HOT_DAYS">'Tourism system'!$B$22:$AR$22</definedName>
    <definedName name="PER_CAPITA_CONSUMPTION">Energy!#REF!</definedName>
    <definedName name="PERCOLATION_COEFFICIENT">'Water system'!$B$58</definedName>
    <definedName name="POPULATION_ADAPTATION_EFFICIENCY">'Population system'!$B$36</definedName>
    <definedName name="POPULATION_CS_SSP245">Energy!#REF!</definedName>
    <definedName name="POPULATION_CS_SSP585">Energy!#REF!</definedName>
    <definedName name="POPULATION_DECREASE_RATE">'Population system'!#REF!</definedName>
    <definedName name="POPULATION_EXPOSED_GROWTH">'Population system'!$B$49:$AR$49</definedName>
    <definedName name="POPULATION_EXPOSED_GROWTH_TIME">'Population system'!$B$48:$AR$48</definedName>
    <definedName name="POPULATION_GROWTH_RATE">'Population system'!#REF!</definedName>
    <definedName name="POPULATION_GROWTH_SSP245">Energy!$B$6:$AR$6</definedName>
    <definedName name="POPULATION_GROWTH_SSP585">Energy!$B$7:$AR$7</definedName>
    <definedName name="POPULATION_GROWTH_TIME">Energy!$B$5:$AR$5</definedName>
    <definedName name="POPULATION_HIGHER_65">'Population system'!#REF!</definedName>
    <definedName name="POPULATION_IN_ENERGY_POVERTY">'Population system'!#REF!</definedName>
    <definedName name="POPULATION_LOWER_5">'Population system'!#REF!</definedName>
    <definedName name="PRECIPITATION_SSP245">'Water system'!$B$31:$AR$42</definedName>
    <definedName name="PRECIPITATION_SSP245_TIME">'Water system'!$B$30:$AR$30</definedName>
    <definedName name="PRECIPITATION_SSP585">'Water system'!$B$45:$AR$56</definedName>
    <definedName name="PRECIPITATION_SSP585_TIME">'Water system'!$B$44:$AR$44</definedName>
    <definedName name="PROTECTED_WETLANDS">'Land system'!#REF!</definedName>
    <definedName name="RATIO_BBE">'Carbon stock biomass'!#REF!</definedName>
    <definedName name="RATIO_BBS">'Carbon stock biomass'!#REF!</definedName>
    <definedName name="RATIO_DROP_OUT_VEHICLES_FROM_10_TO_14_YEARS">'Transport system'!$B$56</definedName>
    <definedName name="RATIO_DROP_OUT_VEHICLES_FROM_15_TO_19_YEARS">'Transport system'!$B$58</definedName>
    <definedName name="RATIO_DROP_OUT_VEHICLES_FROM_5_TO_9_YEARS">'Transport system'!$B$54</definedName>
    <definedName name="RATIO_DROP_OUT_VEHICLES_LESS_THAN_4_YEARS">'Transport system'!$B$52</definedName>
    <definedName name="RATIO_DROP_OUT_VEHICLES_MORE_THAN_20_YEARS">'Transport system'!$B$60</definedName>
    <definedName name="RATIO_IRRIGATED_CROP_AREA">'Crop system'!$B$6</definedName>
    <definedName name="RATIO_RAINFED_CROP_AREA">'Crop system'!$B$8</definedName>
    <definedName name="RATIO_TBE">'Carbon stock biomass'!#REF!</definedName>
    <definedName name="RATIO_TBS">'Carbon stock biomass'!#REF!</definedName>
    <definedName name="RATIO_TNE">'Carbon stock biomass'!#REF!</definedName>
    <definedName name="REFERENCE_CO2_2017">'Carbon stock biomass'!$B$7</definedName>
    <definedName name="REFERENCE_TEMPERATURE_2017">'Carbon stock biomass'!$B$5</definedName>
    <definedName name="RENEWABLE_SHARE">Energy!#REF!</definedName>
    <definedName name="ROOFTOP_HOURS_PER_YEAR">Energy!#REF!</definedName>
    <definedName name="ROOFTOP_PERFORMANCE">Energy!$B$89</definedName>
    <definedName name="ROOMS">'Population system'!#REF!</definedName>
    <definedName name="RP10_DATA">Floods!$C$4:$E$8</definedName>
    <definedName name="RP100_DATA">Floods!$C$14:$E$18</definedName>
    <definedName name="RP50_DATA">Floods!$C$9:$E$13</definedName>
    <definedName name="SECONDS_IN_A_MONTH">'Water system'!$B$64</definedName>
    <definedName name="SECURITY_COEFFICIENT">'Water system'!$B$105</definedName>
    <definedName name="SKI_SLOPE_AREA">'Water system'!$B$135</definedName>
    <definedName name="SNOWMELTING_FACTOR">'Water system'!$B$66</definedName>
    <definedName name="SOIL_WATER_CAPACITY">'Water system'!$B$111</definedName>
    <definedName name="SOLAR_PERFORMANCE">Energy!$B$57</definedName>
    <definedName name="SSP245_DROUGHTS">'Crop system'!$B$2</definedName>
    <definedName name="SSP245_DROUGHTS_TIME">'Crop system'!#REF!</definedName>
    <definedName name="SSP245_HEAT_WAVES">'Population system'!#REF!</definedName>
    <definedName name="SSP245_HEAT_WAVES_TIME">'Population system'!#REF!</definedName>
    <definedName name="SSP245_HEATWAVES">'Population system'!$B$2</definedName>
    <definedName name="SSP585_DROUGHTS">'Crop system'!$B$4</definedName>
    <definedName name="SSP585_DROUGHTS_TIME">'Crop system'!#REF!</definedName>
    <definedName name="SSP585_HAZARDS_TIME">'Tourism system'!$B$20:$AR$20</definedName>
    <definedName name="SSP585_HEAT_WAVES">'Population system'!#REF!</definedName>
    <definedName name="SSP585_HEAT_WAVES_TIME">'Population system'!#REF!</definedName>
    <definedName name="SSP585_HEATWAVES">'Population system'!$B$4</definedName>
    <definedName name="SUN_HOURS_PER_YEAR">Energy!#REF!</definedName>
    <definedName name="TCI_INDEX_SSP585">'Tourism system'!$B$3:$AR$14</definedName>
    <definedName name="TCI_INDEX_SSP585_TIME">'Tourism system'!$B$2:$AR$2</definedName>
    <definedName name="TCI_WEIGHT_IN_EXPOSURE">'Tourism system'!$B$16</definedName>
    <definedName name="TEMPERATURE_SSP245">'Carbon stock biomass'!#REF!</definedName>
    <definedName name="TEMPERATURE_SSP245_TIME">'Water system'!#REF!</definedName>
    <definedName name="TEMPERATURE_SSP585">'Carbon stock biomass'!#REF!</definedName>
    <definedName name="TEMPERATURE_TIME">'Carbon stock biomass'!#REF!</definedName>
    <definedName name="TIME_BASELINE_PRODUCTION">'Crop system'!$B$14</definedName>
    <definedName name="TIME_BIRTHS">'Population system'!#REF!</definedName>
    <definedName name="TIME_CROP_DISTRIBUTION">'Crop system'!$B$31</definedName>
    <definedName name="TIME_DEATHS">'Population system'!#REF!</definedName>
    <definedName name="TIME_EDUCATED_PEOPLE">'Population system'!#REF!</definedName>
    <definedName name="TIME_EDUCATED_POPULATION">'Population system'!#REF!</definedName>
    <definedName name="TIME_GDP">'Population system'!#REF!</definedName>
    <definedName name="TIME_GDP_PER_CAPITA">'Population system'!$B$38:$B$38</definedName>
    <definedName name="TIME_INITIAL_AGRICULTURAL_AREA">'Land system'!$B$5</definedName>
    <definedName name="TIME_INITIAL_FOREST_AREA">'Land system'!$B$2</definedName>
    <definedName name="TIME_INITIAL_OTHER_AREA">'Land system'!$B$14</definedName>
    <definedName name="TIME_INITIAL_PROTECTED_FOREST_AREA">'Land system'!$B$20</definedName>
    <definedName name="TIME_INITIAL_URBAN_AREA">'Land system'!$B$8</definedName>
    <definedName name="TIME_INITIAL_WATER_AREA">'Land system'!$B$11</definedName>
    <definedName name="TIME_INITIAL_WETLANDS_AREA">'Land system'!$B$17</definedName>
    <definedName name="TIME_POPULATION_CS">Energy!#REF!</definedName>
    <definedName name="TIME_POPULATION_HIGHER_65">'Population system'!#REF!</definedName>
    <definedName name="TIME_POPULATION_IN_ENERGY_POVERTY">'Population system'!#REF!</definedName>
    <definedName name="TIME_POPULATION_LOWER_5">'Population system'!#REF!</definedName>
    <definedName name="TIME_PROTECTED_WETLANDS">'Land system'!$B$23</definedName>
    <definedName name="TIME_ROOMS">'Population system'!#REF!</definedName>
    <definedName name="TIME_UNEMPLOYED">'Population system'!#REF!</definedName>
    <definedName name="TOTAL_RESERVOIR_CAPACITY">'Water system'!$B$103</definedName>
    <definedName name="TOURISM_FACTOR">'Tourism system'!$B$73</definedName>
    <definedName name="TRANSBOUNDARY_WATER">'Water system'!#REF!</definedName>
    <definedName name="TRANSFORMATION_COEFFICIENT_ONE">Energy!$B$132</definedName>
    <definedName name="TRANSFORMATION_COEFFICIENT_TWO">Energy!$B$130</definedName>
    <definedName name="UNEMPLOYED">'Population system'!#REF!</definedName>
    <definedName name="URBAN_VARIATION">'Water system'!$B$90</definedName>
    <definedName name="VARIABILITY">'Tourism system'!#REF!</definedName>
    <definedName name="VEHICLES_EMISSION_COEFFICIENT_BUS">'Transport system'!$B$45:$D$45</definedName>
    <definedName name="VEHICLES_EMISSION_COEFFICIENT_CAR">'Transport system'!$B$46:$D$46</definedName>
    <definedName name="VEHICLES_EMISSION_COEFFICIENT_MOTORCYCLE">'Transport system'!$B$47:$D$47</definedName>
    <definedName name="VEHICLES_EMISSION_COEFFICIENT_TRACTOR">'Transport system'!$B$48:$D$48</definedName>
    <definedName name="VEHICLES_EMISSION_COEFFICIENT_TRUCK">'Transport system'!$B$43:$D$43</definedName>
    <definedName name="VEHICLES_EMISSION_COEFFICIENT_VAN">'Transport system'!$B$44:$D$44</definedName>
    <definedName name="WATER_CONSUMPTION">Energy!$B$136</definedName>
    <definedName name="WATER_DEMAND_FROM_AGRICULTURE_RATE">'Water system'!#REF!</definedName>
    <definedName name="WATER_DEMAND_FROM_INDUSTRY_RATE">'Water system'!#REF!</definedName>
    <definedName name="WATER_DEMAND_FROM_URBAN_RATE">'Water system'!#REF!</definedName>
    <definedName name="WATER_STORAGE_CAPACITY">'Crop system'!#REF!</definedName>
    <definedName name="WEIGHT_OF_EXTREME_EVENTS_IN_EXPOSURE">'Tourism system'!$B$18</definedName>
    <definedName name="WIND_HOURS_PER_YEAR">Energy!#REF!</definedName>
    <definedName name="WIND_PERFORMANCE">Energy!$B$74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1" i="3" l="1"/>
</calcChain>
</file>

<file path=xl/sharedStrings.xml><?xml version="1.0" encoding="utf-8"?>
<sst xmlns="http://schemas.openxmlformats.org/spreadsheetml/2006/main" count="667" uniqueCount="344">
  <si>
    <t>INITIAL POPULATION</t>
  </si>
  <si>
    <t>INITIAL ENERGY SHARE</t>
  </si>
  <si>
    <t>INITIAL EMISSION FACTORS</t>
  </si>
  <si>
    <t>INITIAL SOLAR CAPACITY</t>
  </si>
  <si>
    <t>MAX POTENTIAL SOLAR</t>
  </si>
  <si>
    <t>LIFETIME SOLAR</t>
  </si>
  <si>
    <t>MINIMUM DECOMMISSIONING FOR NEW SOLAR CAPACITY</t>
  </si>
  <si>
    <t>MINIMUM DECOMMISSIONING SOLAR</t>
  </si>
  <si>
    <t>SOLAR PERFORMANCE</t>
  </si>
  <si>
    <t>INITIAL WIND CAPACITY</t>
  </si>
  <si>
    <t>MAX POTENTIAL WIND</t>
  </si>
  <si>
    <t>LIFETIME WIND</t>
  </si>
  <si>
    <t>MINIMUM DECOMMISSIONING FOR NEW WIND CAPACITY</t>
  </si>
  <si>
    <t>MINIMUM DECOMMISSIONING WIND</t>
  </si>
  <si>
    <t>WIND PERFORMANCE</t>
  </si>
  <si>
    <t>INITIAL ROOFTOP CAPACITY</t>
  </si>
  <si>
    <t>MAX POTENTIAL ROOFTOP</t>
  </si>
  <si>
    <t>LIFETIME ROOFTOP</t>
  </si>
  <si>
    <t>MINIMUM DECOMMISSIONING FOR NEW ROOFTOP CAPACITY</t>
  </si>
  <si>
    <t>MINIMUM DECOMMISSIONING ROOFTOP</t>
  </si>
  <si>
    <t>ROOFTOP PERFORMANCE</t>
  </si>
  <si>
    <t>INITIAL BIOMASS CAPACITY</t>
  </si>
  <si>
    <t>LIFETIME BIOMASS</t>
  </si>
  <si>
    <t>MINIMUM DECOMMISSIONING FOR NEW BIOMASS CAPACITY</t>
  </si>
  <si>
    <t>MINIMUM DECOMMISSIONING BIOMASS</t>
  </si>
  <si>
    <t>BIOMASS PERFORMANCE</t>
  </si>
  <si>
    <t>INITIAL HYDRO CAPACITY</t>
  </si>
  <si>
    <t>MAX POTENTIAL HYDRO</t>
  </si>
  <si>
    <t>LIFETIME HYDRO</t>
  </si>
  <si>
    <t>MINIMUM DECOMMISSIONING FOR NEW HYDRO CAPACITY</t>
  </si>
  <si>
    <t>MINIMUM DECOMMISSIONING HYDRO</t>
  </si>
  <si>
    <t>HYDRO PERFORMANCE</t>
  </si>
  <si>
    <t>INITIAL NON RENEWABLE CAPACITY</t>
  </si>
  <si>
    <t>LIFETIME NON RENEWABLE</t>
  </si>
  <si>
    <t>MINIMUM DECOMMISSIONING FOR NEW NON RENEWABLE CAPACITY</t>
  </si>
  <si>
    <t>MINIMUM DECOMMISSIONING NON RENEWABLE</t>
  </si>
  <si>
    <t>NON RENEWABLE PERFORMANCE</t>
  </si>
  <si>
    <t>MW</t>
  </si>
  <si>
    <t>MWh</t>
  </si>
  <si>
    <t>year</t>
  </si>
  <si>
    <t>hour</t>
  </si>
  <si>
    <t>inhab</t>
  </si>
  <si>
    <t>MWh/inhab</t>
  </si>
  <si>
    <t>0.01</t>
  </si>
  <si>
    <t>0.05</t>
  </si>
  <si>
    <t>coal</t>
  </si>
  <si>
    <t>gas</t>
  </si>
  <si>
    <t>oil</t>
  </si>
  <si>
    <t>renewables</t>
  </si>
  <si>
    <t>0.7</t>
  </si>
  <si>
    <t>0.5</t>
  </si>
  <si>
    <t>tons CO2/MWh</t>
  </si>
  <si>
    <t>0.1</t>
  </si>
  <si>
    <t>0.8</t>
  </si>
  <si>
    <t>0.3</t>
  </si>
  <si>
    <t>0.6</t>
  </si>
  <si>
    <t>MW/km^2</t>
  </si>
  <si>
    <t>BEST PROGRESS SCENARIO</t>
  </si>
  <si>
    <t>GRADUAL PROGRESS SCENARIO</t>
  </si>
  <si>
    <t>GOOD PROGRESS SCENARIO</t>
  </si>
  <si>
    <t>0.02</t>
  </si>
  <si>
    <t>LOSSES FACTOR</t>
  </si>
  <si>
    <t>ADAPTATION DECAY RATE 1</t>
  </si>
  <si>
    <t>POPULATION ADAPTATION EFFICIENCY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</si>
  <si>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</si>
  <si>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</si>
  <si>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</si>
  <si>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</si>
  <si>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</si>
  <si>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</si>
  <si>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</si>
  <si>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</si>
  <si>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</si>
  <si>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</si>
  <si>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</si>
  <si>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</si>
  <si>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TCI INDEX SSP585</t>
  </si>
  <si>
    <t>TCI WEIGHT IN EXPOSURE</t>
  </si>
  <si>
    <t>WEIGHT OF EXTREME EVENTS IN EXPOSURE</t>
  </si>
  <si>
    <t>NUMBER OF HEATWAVES</t>
  </si>
  <si>
    <t>NUMBER OF VERY HOT DAYS</t>
  </si>
  <si>
    <t>NUMBER OF DAYS WITH HIGH WINDS</t>
  </si>
  <si>
    <t>NUMBER OF DAYS WITH EXTREME PRECIPITATION</t>
  </si>
  <si>
    <t>NUMBER OF COLD WAVES</t>
  </si>
  <si>
    <t>AVERAGE EXPENDITURE INCREASE</t>
  </si>
  <si>
    <t>HISTORICAL EXPENDITURE FOR INTERNATIONAL VISITORS</t>
  </si>
  <si>
    <t>HISTORICAL EXPENDITURE FOR NATIONAL VISITORS</t>
  </si>
  <si>
    <t>euro</t>
  </si>
  <si>
    <t>CO2 FUTURE DATA</t>
  </si>
  <si>
    <t>REFERENCE TEMPERATURE 2017</t>
  </si>
  <si>
    <t>REFERENCE CO2 2017</t>
  </si>
  <si>
    <t>INITIAL BIOMASS STOCK</t>
  </si>
  <si>
    <t>ºC</t>
  </si>
  <si>
    <t>TIME INITIAL ENERGY SHARE</t>
  </si>
  <si>
    <t>TIME INITIAL POPULATION</t>
  </si>
  <si>
    <t>TIME PER CAPITA CONSUMPTION</t>
  </si>
  <si>
    <t>TIME INITIAL WIND CAPACITY</t>
  </si>
  <si>
    <t>TIME INITIAL SOLAR CAPACITY</t>
  </si>
  <si>
    <t>TIME INITIAL NON RENEWABLE CAPACITY</t>
  </si>
  <si>
    <t>TIME INITIAL HYDRO CAPACITY</t>
  </si>
  <si>
    <t>TIME INITIAL BIOMASS CAPACITY</t>
  </si>
  <si>
    <t>TIME INITIAL ROOFTOP CAPACITY</t>
  </si>
  <si>
    <t>ppm</t>
  </si>
  <si>
    <t>tC</t>
  </si>
  <si>
    <t>TIME CO2 FUTURE DATA</t>
  </si>
  <si>
    <t>DECAY COEFFICIENT FOREST MANAGEMENT</t>
  </si>
  <si>
    <t>km2</t>
  </si>
  <si>
    <t>INITIAL FOREST AREA</t>
  </si>
  <si>
    <t>TIME INITIAL FOREST AREA</t>
  </si>
  <si>
    <t>TIME INITIAL AGRICULTURAL AREA</t>
  </si>
  <si>
    <t>INITIAL AGRICULTURAL AREA</t>
  </si>
  <si>
    <t>TIME INITIAL URBAN AREA</t>
  </si>
  <si>
    <t>INITIAL URBAN AREA</t>
  </si>
  <si>
    <t>TIME INITIAL WATER AREA</t>
  </si>
  <si>
    <t>INITIAL WATER AREA</t>
  </si>
  <si>
    <t>TIME INITIAL OTHER AREA</t>
  </si>
  <si>
    <t>INITIAL OTHER AREA</t>
  </si>
  <si>
    <t>TIME INITIAL WETLANDS AREA</t>
  </si>
  <si>
    <t>INITIAL WETLANDS AREA</t>
  </si>
  <si>
    <t>Hm3</t>
  </si>
  <si>
    <t>RATIO IRRIGATED CROP AREA</t>
  </si>
  <si>
    <t>RATIO RAINFED CROP AREA</t>
  </si>
  <si>
    <t>DIVERSIFICATION EFFICIENCY</t>
  </si>
  <si>
    <t>ADAPTATION EFFICIENCY</t>
  </si>
  <si>
    <t>BASELINE PRODUCTION</t>
  </si>
  <si>
    <t>TIME BASELINE PRODUCTION</t>
  </si>
  <si>
    <t>kg/ha·year</t>
  </si>
  <si>
    <t>ADAPTATION INVESTMENT RATE</t>
  </si>
  <si>
    <t>DECAY RATE 1</t>
  </si>
  <si>
    <t>0.001</t>
  </si>
  <si>
    <t>DECAY RATE 2</t>
  </si>
  <si>
    <t>CROP DISTRIBUTION</t>
  </si>
  <si>
    <t>TIME CROP DISTRIBUTION</t>
  </si>
  <si>
    <t>cereals</t>
  </si>
  <si>
    <t>roots and tubers</t>
  </si>
  <si>
    <t>sugar crops</t>
  </si>
  <si>
    <t>vegetables</t>
  </si>
  <si>
    <t>TIME INITIAL PROTECTED FOREST AREA</t>
  </si>
  <si>
    <t>INITIAL PROTECTED FOREST AREA</t>
  </si>
  <si>
    <t>AGRICULTURAL DEMAND RATIO</t>
  </si>
  <si>
    <t>EXPANSION RATIO</t>
  </si>
  <si>
    <t>DISTANCE</t>
  </si>
  <si>
    <t>km</t>
  </si>
  <si>
    <t>TIME PROTECTED WETLANDS</t>
  </si>
  <si>
    <t>MEAN TEMPERATURE SSP245</t>
  </si>
  <si>
    <t>MEAN TEMPERATURE SSP585</t>
  </si>
  <si>
    <t>PRECIPITATION SSP245</t>
  </si>
  <si>
    <t>PRECIPITATION SSP585</t>
  </si>
  <si>
    <t>mm</t>
  </si>
  <si>
    <t>PERCOLATION COEFFICIENT</t>
  </si>
  <si>
    <t>M3 TO HM3</t>
  </si>
  <si>
    <t>MM PER KM2 TO M3</t>
  </si>
  <si>
    <t>SECONDS IN A MONTH</t>
  </si>
  <si>
    <t>MONTH DAYS</t>
  </si>
  <si>
    <t>SNOWMELTING FACTOR</t>
  </si>
  <si>
    <t>mm/ºC/day</t>
  </si>
  <si>
    <t>day</t>
  </si>
  <si>
    <t>INFILTRATION RATE</t>
  </si>
  <si>
    <t>INITIAL GROUNDWATER</t>
  </si>
  <si>
    <t>EVAPORATION FROM STORAGE</t>
  </si>
  <si>
    <t>TOTAL RESERVOIR CAPACITY</t>
  </si>
  <si>
    <t>SECURITY COEFFICIENT</t>
  </si>
  <si>
    <t>0.125</t>
  </si>
  <si>
    <t>ECOLOGICAL FLOW</t>
  </si>
  <si>
    <t>INITIAL STORAGE</t>
  </si>
  <si>
    <t>INITIAL DESALINATION</t>
  </si>
  <si>
    <t>ALFA POP LOWER 5</t>
  </si>
  <si>
    <t>BETA POP LOWER 5</t>
  </si>
  <si>
    <t>ALFA POP HIGHER 65</t>
  </si>
  <si>
    <t>BETA POP HIGHER 65</t>
  </si>
  <si>
    <t>POPULATION GROWTH SSP245</t>
  </si>
  <si>
    <t>POPULATION GROWTH SSP585</t>
  </si>
  <si>
    <t>POPULATION GROWTH TIME</t>
  </si>
  <si>
    <t>0.202</t>
  </si>
  <si>
    <t>0.267</t>
  </si>
  <si>
    <t>0.354</t>
  </si>
  <si>
    <t>ALFA BIRTHS</t>
  </si>
  <si>
    <t>BETA BIRTHS</t>
  </si>
  <si>
    <t>ALFA DEATHS</t>
  </si>
  <si>
    <t>BETA DEATHS</t>
  </si>
  <si>
    <t>ALFA ROOMS</t>
  </si>
  <si>
    <t>BETA ROOMS</t>
  </si>
  <si>
    <t>GAMMA ROOMS</t>
  </si>
  <si>
    <t>ALFA EDUCATION</t>
  </si>
  <si>
    <t>BETA EDUCATION</t>
  </si>
  <si>
    <t>ALFA UNEMPLOYED</t>
  </si>
  <si>
    <t>BETA UNEMPLOYED</t>
  </si>
  <si>
    <t>GAMMA UNEMPLOYED</t>
  </si>
  <si>
    <t>ALFA ENERGY POVERTY</t>
  </si>
  <si>
    <t>BETA ENERGY POVERTY</t>
  </si>
  <si>
    <t>INITIAL WATER DEMAND FROM AGRICULTURE PER CAPITA</t>
  </si>
  <si>
    <t>Hm3 per capita</t>
  </si>
  <si>
    <t>INITIAL WATER DEMAND FROM INDUSTRY PER CAPITA</t>
  </si>
  <si>
    <t>INITIAL WATER DEMAND FROM URBAN PER CAPITA</t>
  </si>
  <si>
    <t>GDP PER CAPITA GROWTH RATE</t>
  </si>
  <si>
    <t>INITIAL GDP PER CAPITA</t>
  </si>
  <si>
    <t>Euro per capita</t>
  </si>
  <si>
    <t>TIME GDP PER CAPITA</t>
  </si>
  <si>
    <t>DECAY GDP PER CAPITA GROWTH RATE</t>
  </si>
  <si>
    <t>LIMITING FACTOR INDUSTRY</t>
  </si>
  <si>
    <t>LIMITING FACTOR AGRICULTURE</t>
  </si>
  <si>
    <t>LIMITING FACTOR URBAN</t>
  </si>
  <si>
    <t>LIMIT ENERGY POVERTY</t>
  </si>
  <si>
    <t>LIMIT UNEMPLOYED</t>
  </si>
  <si>
    <t>INITIAL SOIL MOISTURE</t>
  </si>
  <si>
    <t>INITIAL RATIO BBS</t>
  </si>
  <si>
    <t>INITIAL RATIO TBE</t>
  </si>
  <si>
    <t>INITIAL RATIO TBS</t>
  </si>
  <si>
    <t>INITIAL RATIO TNE</t>
  </si>
  <si>
    <t>FACTOR HA TO KM2</t>
  </si>
  <si>
    <t>CARBON TRANSFORMATION CONSTANT</t>
  </si>
  <si>
    <t>KG TO TONNES</t>
  </si>
  <si>
    <t>FOREST MORTALITY COEFFICIENT</t>
  </si>
  <si>
    <t>AGRICULTURE VARIATION</t>
  </si>
  <si>
    <t>INDUSTRY VARIATION</t>
  </si>
  <si>
    <t>URBAN VARIATION</t>
  </si>
  <si>
    <t>INITIAL CONSUMPTION PER CAPITA</t>
  </si>
  <si>
    <t>ENERGY CONSUMPTION VARIATION FACTOR</t>
  </si>
  <si>
    <t>LIMIT ENERGY CONSUMPTION</t>
  </si>
  <si>
    <t>SOIL WATER CAPACITY</t>
  </si>
  <si>
    <t>SSP245 DROUGHTS</t>
  </si>
  <si>
    <t>SSP585 DROUGHTS</t>
  </si>
  <si>
    <t>SSP585 HAZARDS TIME</t>
  </si>
  <si>
    <t>fruits and nuts</t>
  </si>
  <si>
    <t>oilseed crops</t>
  </si>
  <si>
    <t>leguminous crops</t>
  </si>
  <si>
    <t>beverage and spice crops</t>
  </si>
  <si>
    <t>other crops</t>
  </si>
  <si>
    <t>ALFA WINTER</t>
  </si>
  <si>
    <t>ALFA SUMMER</t>
  </si>
  <si>
    <t>BETA SUMMER</t>
  </si>
  <si>
    <t>BETA WINTER</t>
  </si>
  <si>
    <t>BETA 1 SUMMER</t>
  </si>
  <si>
    <t>BETA 1 WINTER</t>
  </si>
  <si>
    <t>ALFA 1 WINTER</t>
  </si>
  <si>
    <t>ALFA 1 SUMMER</t>
  </si>
  <si>
    <t>INITIAL PROTECTED WETLANDS</t>
  </si>
  <si>
    <t>mm/month</t>
  </si>
  <si>
    <t>DAYS NATIONAL VISITORS</t>
  </si>
  <si>
    <t>DAYS INTERNATIONAL VISITORS</t>
  </si>
  <si>
    <t>days</t>
  </si>
  <si>
    <t>INITIAL WATER TREATMENT</t>
  </si>
  <si>
    <t>Hm3/month</t>
  </si>
  <si>
    <t>LEVEL 1 MURCIA</t>
  </si>
  <si>
    <t>LEVEL 2 MURCIA</t>
  </si>
  <si>
    <t>LEVEL 3 MURCIA</t>
  </si>
  <si>
    <t>LEVEL 4 MURCIA</t>
  </si>
  <si>
    <t>DELAY EDUCATION</t>
  </si>
  <si>
    <t>Year</t>
  </si>
  <si>
    <t>INCREASE NON RENEWABLE CAPACITY</t>
  </si>
  <si>
    <t>MWH PER HM3 DESALINATED WATER</t>
  </si>
  <si>
    <t>MWh/Hm3</t>
  </si>
  <si>
    <t>MWH PER HM3 TREATED WATER</t>
  </si>
  <si>
    <t>ALFA SPRING</t>
  </si>
  <si>
    <t>ALFA AUTUMN</t>
  </si>
  <si>
    <t>BETA SPRING</t>
  </si>
  <si>
    <t>BETA AUTUMN</t>
  </si>
  <si>
    <t>ALFA 1 SPRING</t>
  </si>
  <si>
    <t>ALFA 1 AUTUMN</t>
  </si>
  <si>
    <t>BETA 1 SPRING</t>
  </si>
  <si>
    <t xml:space="preserve">BETA 1 AUTUMN </t>
  </si>
  <si>
    <t>INITIAL RATIO BNE</t>
  </si>
  <si>
    <t>HOURS IN A YEAR</t>
  </si>
  <si>
    <t>MWh/ton</t>
  </si>
  <si>
    <t>BIOMASS ENERGY CONTENT</t>
  </si>
  <si>
    <t>BUILDING AREA</t>
  </si>
  <si>
    <t>TRANSFORMATION COEFFICIENT TWO</t>
  </si>
  <si>
    <t>kg/kWh</t>
  </si>
  <si>
    <t>TRANSFORMATION COEFFICIENT ONE</t>
  </si>
  <si>
    <t>kWh/kg</t>
  </si>
  <si>
    <t>KMH TO MWH</t>
  </si>
  <si>
    <t>WATER CONSUMPTION</t>
  </si>
  <si>
    <t>l/kg</t>
  </si>
  <si>
    <t>LITERS TO HM3</t>
  </si>
  <si>
    <t>TIME GREEN URBAN AREA</t>
  </si>
  <si>
    <t>INITIAL GREEN URBAN AREA</t>
  </si>
  <si>
    <t>Return period</t>
  </si>
  <si>
    <t>Flood high</t>
  </si>
  <si>
    <t>Land use (km2)</t>
  </si>
  <si>
    <t>Urban</t>
  </si>
  <si>
    <t>Other</t>
  </si>
  <si>
    <t>Roads &amp; railways</t>
  </si>
  <si>
    <t>RP10</t>
  </si>
  <si>
    <t>1M</t>
  </si>
  <si>
    <t>2M</t>
  </si>
  <si>
    <t>3M</t>
  </si>
  <si>
    <t>4M</t>
  </si>
  <si>
    <t>&gt;4M</t>
  </si>
  <si>
    <t>RP50</t>
  </si>
  <si>
    <t>RP100</t>
  </si>
  <si>
    <t>INFLATION RATE 2018 TO 2024</t>
  </si>
  <si>
    <t>dmnl</t>
  </si>
  <si>
    <t xml:space="preserve">INFLATION </t>
  </si>
  <si>
    <t>INITIAL VEHICLES</t>
  </si>
  <si>
    <t>PETROL</t>
  </si>
  <si>
    <t>DIESEL</t>
  </si>
  <si>
    <t>ELECTRICITY</t>
  </si>
  <si>
    <t>TRUCK</t>
  </si>
  <si>
    <t>vehicles</t>
  </si>
  <si>
    <t>VAN</t>
  </si>
  <si>
    <t>BUS</t>
  </si>
  <si>
    <t>CAR</t>
  </si>
  <si>
    <t>MOTORCYCLE</t>
  </si>
  <si>
    <t>TRACTOR</t>
  </si>
  <si>
    <t>ALPHA VEHICLE</t>
  </si>
  <si>
    <t>BETA VEHICLE</t>
  </si>
  <si>
    <t>LIMIT 1 VEHICLE GROWTH</t>
  </si>
  <si>
    <t>LIMIT 2 VEHICLE GROWTH</t>
  </si>
  <si>
    <t>VEHICLES EMISSION COEFFICIENT</t>
  </si>
  <si>
    <t>tCO2/km</t>
  </si>
  <si>
    <t>DISTANCE COVERED</t>
  </si>
  <si>
    <t>RATIO DROP OUT VEHICLES LESS THAN 4 YEARS</t>
  </si>
  <si>
    <t>RATIO DROP OUT VEHICLES FROM 5 TO 9 YEARS</t>
  </si>
  <si>
    <t>RATIO DROP OUT VEHICLES FROM 10 TO 14 YEARS</t>
  </si>
  <si>
    <t>RATIO DROP OUT VEHICLES FROM 15 TO 19 YEARS</t>
  </si>
  <si>
    <t>RATIO DROP OUT VEHICLES MORE THAN 20 YEARS</t>
  </si>
  <si>
    <t>EXPOSED CROP RATE TIME</t>
  </si>
  <si>
    <t>EXPOSED CROP RATE</t>
  </si>
  <si>
    <t>TIME EXPOSED CROPS</t>
  </si>
  <si>
    <t>INITIAL EXPOSED CROPS</t>
  </si>
  <si>
    <t>TIME INITIAL EXPOSED POPULATION</t>
  </si>
  <si>
    <t>INITIAL EXPOSED POPULATION</t>
  </si>
  <si>
    <t>POPULATION EXPOSED GROWTH TIME</t>
  </si>
  <si>
    <t>POPULATION EXPOSED GROWTH</t>
  </si>
  <si>
    <t>AREA OCCUPIED BY SOLAR PER MW</t>
  </si>
  <si>
    <t>km2/MW</t>
  </si>
  <si>
    <t>SKI SLOPE AREA</t>
  </si>
  <si>
    <t>m2</t>
  </si>
  <si>
    <t>MINIMUM SKI DEPTH</t>
  </si>
  <si>
    <t>m</t>
  </si>
  <si>
    <t>INITIAL RATIO WATER PER SNOW PRODUCTION</t>
  </si>
  <si>
    <t>m3/m3</t>
  </si>
  <si>
    <t>INITIAL RATIO ENERGY PER SNOW PRODUCTION</t>
  </si>
  <si>
    <t>MWh/m3</t>
  </si>
  <si>
    <t>SSP245 HEATWAVES</t>
  </si>
  <si>
    <t>SSP585 HEATWAVES</t>
  </si>
  <si>
    <t>INITIAL ATTRACTIVENESS</t>
  </si>
  <si>
    <t>NUMBER OF ROOMS</t>
  </si>
  <si>
    <t>rooms</t>
  </si>
  <si>
    <t>EFFECTS OF EXTREME EVENTS</t>
  </si>
  <si>
    <t>BUILDING DETERIORATION RATE</t>
  </si>
  <si>
    <t>TOURISM FACTOR</t>
  </si>
  <si>
    <t>tourist per room and day</t>
  </si>
  <si>
    <t>MEAN FACTOR OF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</si>
</sst>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000"/>
    <numFmt numFmtId="167" formatCode="0.00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3" borderId="0" xfId="0" applyNumberFormat="1" applyFill="1"/>
    <xf numFmtId="1" fontId="0" fillId="3" borderId="0" xfId="0" applyNumberFormat="1" applyFill="1"/>
    <xf numFmtId="1" fontId="0" fillId="3" borderId="0" xfId="0" applyNumberFormat="1" applyFill="1" applyAlignment="1">
      <alignment horizontal="right"/>
    </xf>
    <xf numFmtId="0" fontId="0" fillId="5" borderId="0" xfId="0" applyFill="1"/>
    <xf numFmtId="0" fontId="1" fillId="4" borderId="0" xfId="0" applyFont="1" applyFill="1"/>
    <xf numFmtId="2" fontId="0" fillId="4" borderId="0" xfId="0" applyNumberFormat="1" applyFill="1"/>
    <xf numFmtId="1" fontId="0" fillId="5" borderId="0" xfId="0" applyNumberFormat="1" applyFill="1"/>
    <xf numFmtId="2" fontId="0" fillId="3" borderId="0" xfId="0" applyNumberFormat="1" applyFill="1"/>
    <xf numFmtId="0" fontId="0" fillId="6" borderId="0" xfId="0" applyFill="1"/>
    <xf numFmtId="11" fontId="0" fillId="3" borderId="0" xfId="0" applyNumberFormat="1" applyFill="1"/>
    <xf numFmtId="3" fontId="0" fillId="0" borderId="0" xfId="0" applyNumberFormat="1" applyFill="1"/>
    <xf numFmtId="0" fontId="0" fillId="2" borderId="0" xfId="0" applyFill="1" applyAlignment="1">
      <alignment horizontal="left" vertical="center"/>
    </xf>
    <xf numFmtId="1" fontId="0" fillId="0" borderId="0" xfId="0" applyNumberFormat="1" applyFill="1"/>
    <xf numFmtId="1" fontId="0" fillId="0" borderId="0" xfId="0" applyNumberFormat="1" applyFill="1" applyAlignment="1">
      <alignment horizontal="right"/>
    </xf>
    <xf numFmtId="2" fontId="0" fillId="0" borderId="0" xfId="0" applyNumberFormat="1" applyFill="1"/>
    <xf numFmtId="11" fontId="0" fillId="0" borderId="0" xfId="0" applyNumberFormat="1"/>
    <xf numFmtId="164" fontId="0" fillId="3" borderId="0" xfId="0" applyNumberFormat="1" applyFill="1"/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1" fontId="0" fillId="3" borderId="0" xfId="0" applyNumberFormat="1" applyFill="1"/>
    <xf numFmtId="0" fontId="0" fillId="0" borderId="0" xfId="0" applyFill="1" applyAlignment="1">
      <alignment horizontal="left" vertical="center"/>
    </xf>
    <xf numFmtId="0" fontId="0" fillId="3" borderId="0" xfId="0" applyFont="1" applyFill="1" applyAlignment="1"/>
    <xf numFmtId="4" fontId="0" fillId="3" borderId="0" xfId="0" applyNumberFormat="1" applyFill="1"/>
    <xf numFmtId="165" fontId="0" fillId="3" borderId="0" xfId="0" applyNumberFormat="1" applyFill="1"/>
    <xf numFmtId="165" fontId="0" fillId="3" borderId="0" xfId="0" applyNumberFormat="1" applyFill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3" borderId="5" xfId="0" applyNumberFormat="1" applyFill="1" applyBorder="1"/>
    <xf numFmtId="166" fontId="0" fillId="3" borderId="0" xfId="0" applyNumberFormat="1" applyFill="1"/>
    <xf numFmtId="2" fontId="0" fillId="3" borderId="0" xfId="0" applyNumberFormat="1" applyFill="1" applyAlignment="1">
      <alignment horizontal="right"/>
    </xf>
    <xf numFmtId="2" fontId="0" fillId="0" borderId="0" xfId="0" applyNumberFormat="1"/>
    <xf numFmtId="0" fontId="1" fillId="3" borderId="0" xfId="0" applyFont="1" applyFill="1"/>
    <xf numFmtId="0" fontId="1" fillId="0" borderId="0" xfId="0" applyFont="1" applyFill="1"/>
    <xf numFmtId="0" fontId="1" fillId="0" borderId="0" xfId="0" applyFont="1"/>
    <xf numFmtId="0" fontId="1" fillId="3" borderId="0" xfId="0" applyNumberFormat="1" applyFont="1" applyFill="1"/>
    <xf numFmtId="0" fontId="1" fillId="0" borderId="0" xfId="0" applyNumberFormat="1" applyFont="1" applyFill="1"/>
    <xf numFmtId="167" fontId="0" fillId="3" borderId="0" xfId="0" applyNumberFormat="1" applyFill="1" applyAlignment="1">
      <alignment horizontal="right"/>
    </xf>
    <xf numFmtId="11" fontId="0" fillId="5" borderId="0" xfId="0" applyNumberFormat="1" applyFill="1"/>
    <xf numFmtId="11" fontId="1" fillId="3" borderId="0" xfId="0" applyNumberFormat="1" applyFont="1" applyFill="1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705E-B1D9-4519-8DC7-BE45F14517AC}">
  <dimension ref="A2:C33"/>
  <sheetViews>
    <sheetView topLeftCell="A18" workbookViewId="0">
      <selection activeCell="B27" sqref="B27"/>
    </sheetView>
  </sheetViews>
  <sheetFormatPr baseColWidth="10" defaultRowHeight="14.5" x14ac:dyDescent="0.35"/>
  <cols>
    <col min="1" max="1" width="37.54296875" customWidth="1"/>
  </cols>
  <sheetData>
    <row r="2" spans="1:3" x14ac:dyDescent="0.35">
      <c r="A2" s="1" t="s">
        <v>108</v>
      </c>
      <c r="B2" s="8">
        <v>2018</v>
      </c>
      <c r="C2" s="9" t="s">
        <v>39</v>
      </c>
    </row>
    <row r="3" spans="1:3" x14ac:dyDescent="0.35">
      <c r="A3" s="1" t="s">
        <v>107</v>
      </c>
      <c r="B3" s="2">
        <v>1015.61</v>
      </c>
      <c r="C3" s="3" t="s">
        <v>106</v>
      </c>
    </row>
    <row r="5" spans="1:3" x14ac:dyDescent="0.35">
      <c r="A5" s="1" t="s">
        <v>109</v>
      </c>
      <c r="B5" s="8">
        <v>2018</v>
      </c>
      <c r="C5" s="9" t="s">
        <v>39</v>
      </c>
    </row>
    <row r="6" spans="1:3" x14ac:dyDescent="0.35">
      <c r="A6" s="1" t="s">
        <v>110</v>
      </c>
      <c r="B6" s="2">
        <v>3547.32</v>
      </c>
      <c r="C6" s="3" t="s">
        <v>106</v>
      </c>
    </row>
    <row r="8" spans="1:3" x14ac:dyDescent="0.35">
      <c r="A8" s="1" t="s">
        <v>111</v>
      </c>
      <c r="B8" s="8">
        <v>2018</v>
      </c>
      <c r="C8" s="9" t="s">
        <v>39</v>
      </c>
    </row>
    <row r="9" spans="1:3" x14ac:dyDescent="0.35">
      <c r="A9" s="1" t="s">
        <v>112</v>
      </c>
      <c r="B9" s="2">
        <v>225.04</v>
      </c>
      <c r="C9" s="3" t="s">
        <v>106</v>
      </c>
    </row>
    <row r="11" spans="1:3" x14ac:dyDescent="0.35">
      <c r="A11" s="1" t="s">
        <v>113</v>
      </c>
      <c r="B11" s="8">
        <v>2018</v>
      </c>
      <c r="C11" s="9" t="s">
        <v>39</v>
      </c>
    </row>
    <row r="12" spans="1:3" x14ac:dyDescent="0.35">
      <c r="A12" s="1" t="s">
        <v>114</v>
      </c>
      <c r="B12" s="2">
        <v>1058.57</v>
      </c>
      <c r="C12" s="3" t="s">
        <v>106</v>
      </c>
    </row>
    <row r="14" spans="1:3" x14ac:dyDescent="0.35">
      <c r="A14" s="1" t="s">
        <v>115</v>
      </c>
      <c r="B14" s="8">
        <v>2018</v>
      </c>
      <c r="C14" s="9" t="s">
        <v>39</v>
      </c>
    </row>
    <row r="15" spans="1:3" x14ac:dyDescent="0.35">
      <c r="A15" s="1" t="s">
        <v>116</v>
      </c>
      <c r="B15" s="2">
        <v>495.23</v>
      </c>
      <c r="C15" s="3" t="s">
        <v>106</v>
      </c>
    </row>
    <row r="17" spans="1:3" x14ac:dyDescent="0.35">
      <c r="A17" s="1" t="s">
        <v>117</v>
      </c>
      <c r="B17" s="8">
        <v>2018</v>
      </c>
      <c r="C17" s="9" t="s">
        <v>39</v>
      </c>
    </row>
    <row r="18" spans="1:3" x14ac:dyDescent="0.35">
      <c r="A18" s="1" t="s">
        <v>118</v>
      </c>
      <c r="B18" s="2">
        <v>2128.39</v>
      </c>
      <c r="C18" s="3" t="s">
        <v>106</v>
      </c>
    </row>
    <row r="20" spans="1:3" x14ac:dyDescent="0.35">
      <c r="A20" s="1" t="s">
        <v>137</v>
      </c>
      <c r="B20" s="8">
        <v>2018</v>
      </c>
      <c r="C20" s="9" t="s">
        <v>39</v>
      </c>
    </row>
    <row r="21" spans="1:3" x14ac:dyDescent="0.35">
      <c r="A21" s="1" t="s">
        <v>138</v>
      </c>
      <c r="B21" s="2">
        <v>980.8</v>
      </c>
      <c r="C21" s="3" t="s">
        <v>106</v>
      </c>
    </row>
    <row r="23" spans="1:3" x14ac:dyDescent="0.35">
      <c r="A23" s="1" t="s">
        <v>143</v>
      </c>
      <c r="B23" s="8">
        <v>2018</v>
      </c>
      <c r="C23" s="9" t="s">
        <v>39</v>
      </c>
    </row>
    <row r="24" spans="1:3" s="22" customFormat="1" x14ac:dyDescent="0.35">
      <c r="A24" s="23" t="s">
        <v>236</v>
      </c>
      <c r="B24" s="24">
        <v>2120.38</v>
      </c>
      <c r="C24" s="25" t="s">
        <v>106</v>
      </c>
    </row>
    <row r="26" spans="1:3" x14ac:dyDescent="0.35">
      <c r="A26" s="23" t="s">
        <v>274</v>
      </c>
      <c r="B26" s="8">
        <v>2018</v>
      </c>
      <c r="C26" s="9" t="s">
        <v>39</v>
      </c>
    </row>
    <row r="27" spans="1:3" x14ac:dyDescent="0.35">
      <c r="A27" s="23" t="s">
        <v>275</v>
      </c>
      <c r="B27" s="24">
        <v>8.5565999999999995</v>
      </c>
      <c r="C27" s="25" t="s">
        <v>106</v>
      </c>
    </row>
    <row r="28" spans="1:3" s="26" customFormat="1" x14ac:dyDescent="0.35"/>
    <row r="29" spans="1:3" x14ac:dyDescent="0.35">
      <c r="A29" s="1" t="s">
        <v>139</v>
      </c>
      <c r="B29" s="2">
        <v>1E-3</v>
      </c>
      <c r="C29" s="3"/>
    </row>
    <row r="31" spans="1:3" x14ac:dyDescent="0.35">
      <c r="A31" s="1" t="s">
        <v>140</v>
      </c>
      <c r="B31" s="2">
        <v>0.06</v>
      </c>
      <c r="C31" s="3"/>
    </row>
    <row r="33" spans="1:3" x14ac:dyDescent="0.35">
      <c r="A33" s="1" t="s">
        <v>141</v>
      </c>
      <c r="B33" s="2">
        <v>10</v>
      </c>
      <c r="C33" s="3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E0583-90EB-4ABB-A2ED-1F4B06948D1C}">
  <dimension ref="A1:AT47"/>
  <sheetViews>
    <sheetView topLeftCell="A25" zoomScale="75" workbookViewId="0">
      <selection activeCell="B5" sqref="B5"/>
    </sheetView>
  </sheetViews>
  <sheetFormatPr baseColWidth="10" defaultRowHeight="14.5" x14ac:dyDescent="0.35"/>
  <cols>
    <col min="1" max="1" width="32.453125" customWidth="1"/>
  </cols>
  <sheetData>
    <row r="1" spans="1:4" s="22" customFormat="1" x14ac:dyDescent="0.35"/>
    <row r="2" spans="1:4" s="22" customFormat="1" x14ac:dyDescent="0.35">
      <c r="A2" s="23" t="s">
        <v>220</v>
      </c>
      <c r="B2" s="41">
        <v>0.6744</v>
      </c>
      <c r="C2" s="25"/>
      <c r="D2" s="26"/>
    </row>
    <row r="3" spans="1:4" s="22" customFormat="1" x14ac:dyDescent="0.35">
      <c r="A3" s="26"/>
      <c r="B3" s="26"/>
      <c r="D3" s="26"/>
    </row>
    <row r="4" spans="1:4" s="22" customFormat="1" x14ac:dyDescent="0.35">
      <c r="A4" s="23" t="s">
        <v>221</v>
      </c>
      <c r="B4" s="41">
        <v>0.73260000000000003</v>
      </c>
      <c r="C4" s="25"/>
      <c r="D4" s="26"/>
    </row>
    <row r="5" spans="1:4" x14ac:dyDescent="0.35">
      <c r="D5" s="4"/>
    </row>
    <row r="6" spans="1:4" x14ac:dyDescent="0.35">
      <c r="A6" s="1" t="s">
        <v>120</v>
      </c>
      <c r="B6" s="2">
        <v>4.7E-2</v>
      </c>
      <c r="C6" s="3"/>
      <c r="D6" s="4"/>
    </row>
    <row r="7" spans="1:4" x14ac:dyDescent="0.35">
      <c r="D7" s="4"/>
    </row>
    <row r="8" spans="1:4" x14ac:dyDescent="0.35">
      <c r="A8" s="1" t="s">
        <v>121</v>
      </c>
      <c r="B8" s="2">
        <v>0.95299999999999996</v>
      </c>
      <c r="C8" s="3"/>
      <c r="D8" s="4"/>
    </row>
    <row r="9" spans="1:4" x14ac:dyDescent="0.35">
      <c r="D9" s="4"/>
    </row>
    <row r="10" spans="1:4" x14ac:dyDescent="0.35">
      <c r="A10" s="1" t="s">
        <v>122</v>
      </c>
      <c r="B10" s="2" t="s">
        <v>53</v>
      </c>
      <c r="C10" s="3"/>
    </row>
    <row r="12" spans="1:4" x14ac:dyDescent="0.35">
      <c r="A12" s="1" t="s">
        <v>123</v>
      </c>
      <c r="B12" s="2" t="s">
        <v>55</v>
      </c>
      <c r="C12" s="3"/>
    </row>
    <row r="14" spans="1:4" x14ac:dyDescent="0.35">
      <c r="A14" s="1" t="s">
        <v>125</v>
      </c>
      <c r="B14" s="8">
        <v>2018</v>
      </c>
      <c r="C14" s="3" t="s">
        <v>39</v>
      </c>
    </row>
    <row r="15" spans="1:4" x14ac:dyDescent="0.35">
      <c r="A15" s="1" t="s">
        <v>124</v>
      </c>
      <c r="B15" s="6">
        <v>920649</v>
      </c>
      <c r="C15" s="3" t="s">
        <v>126</v>
      </c>
      <c r="D15" t="s">
        <v>133</v>
      </c>
    </row>
    <row r="16" spans="1:4" s="22" customFormat="1" x14ac:dyDescent="0.35">
      <c r="A16" s="26"/>
      <c r="B16" s="27">
        <v>65038</v>
      </c>
      <c r="C16" s="25" t="s">
        <v>126</v>
      </c>
      <c r="D16" s="22" t="s">
        <v>136</v>
      </c>
    </row>
    <row r="17" spans="1:5" s="22" customFormat="1" x14ac:dyDescent="0.35">
      <c r="A17" s="26"/>
      <c r="B17" s="27">
        <v>4351</v>
      </c>
      <c r="C17" s="25" t="s">
        <v>126</v>
      </c>
      <c r="D17" s="22" t="s">
        <v>223</v>
      </c>
    </row>
    <row r="18" spans="1:5" s="22" customFormat="1" x14ac:dyDescent="0.35">
      <c r="A18" s="26"/>
      <c r="B18" s="27">
        <v>255494</v>
      </c>
      <c r="C18" s="25" t="s">
        <v>126</v>
      </c>
      <c r="D18" s="22" t="s">
        <v>224</v>
      </c>
    </row>
    <row r="19" spans="1:5" s="22" customFormat="1" x14ac:dyDescent="0.35">
      <c r="A19" s="26"/>
      <c r="B19" s="27">
        <v>433175</v>
      </c>
      <c r="C19" s="25" t="s">
        <v>126</v>
      </c>
      <c r="D19" s="22" t="s">
        <v>134</v>
      </c>
    </row>
    <row r="20" spans="1:5" s="22" customFormat="1" x14ac:dyDescent="0.35">
      <c r="A20" s="26"/>
      <c r="B20" s="27">
        <v>122</v>
      </c>
      <c r="C20" s="25" t="s">
        <v>126</v>
      </c>
      <c r="D20" t="s">
        <v>226</v>
      </c>
    </row>
    <row r="21" spans="1:5" x14ac:dyDescent="0.35">
      <c r="B21" s="6">
        <v>7820</v>
      </c>
      <c r="C21" s="3" t="s">
        <v>126</v>
      </c>
      <c r="D21" t="s">
        <v>225</v>
      </c>
    </row>
    <row r="22" spans="1:5" x14ac:dyDescent="0.35">
      <c r="B22" s="6">
        <v>0</v>
      </c>
      <c r="C22" s="3" t="s">
        <v>126</v>
      </c>
      <c r="D22" t="s">
        <v>135</v>
      </c>
    </row>
    <row r="23" spans="1:5" x14ac:dyDescent="0.35">
      <c r="B23" s="6">
        <v>355847</v>
      </c>
      <c r="C23" s="3" t="s">
        <v>126</v>
      </c>
      <c r="D23" t="s">
        <v>227</v>
      </c>
    </row>
    <row r="25" spans="1:5" x14ac:dyDescent="0.35">
      <c r="A25" s="1" t="s">
        <v>127</v>
      </c>
      <c r="B25" s="2" t="s">
        <v>43</v>
      </c>
      <c r="C25" s="3"/>
    </row>
    <row r="27" spans="1:5" x14ac:dyDescent="0.35">
      <c r="A27" s="1" t="s">
        <v>128</v>
      </c>
      <c r="B27" s="2" t="s">
        <v>60</v>
      </c>
      <c r="C27" s="3"/>
    </row>
    <row r="29" spans="1:5" x14ac:dyDescent="0.35">
      <c r="A29" s="1" t="s">
        <v>130</v>
      </c>
      <c r="B29" s="2" t="s">
        <v>129</v>
      </c>
      <c r="C29" s="3"/>
    </row>
    <row r="31" spans="1:5" x14ac:dyDescent="0.35">
      <c r="A31" s="1" t="s">
        <v>132</v>
      </c>
      <c r="B31" s="8">
        <v>2018</v>
      </c>
      <c r="C31" s="3" t="s">
        <v>39</v>
      </c>
      <c r="E31" s="4"/>
    </row>
    <row r="32" spans="1:5" x14ac:dyDescent="0.35">
      <c r="A32" s="1" t="s">
        <v>131</v>
      </c>
      <c r="B32" s="21">
        <v>0.58196349999999997</v>
      </c>
      <c r="C32" s="3"/>
      <c r="D32" s="22" t="s">
        <v>133</v>
      </c>
      <c r="E32" s="4"/>
    </row>
    <row r="33" spans="1:46" x14ac:dyDescent="0.35">
      <c r="B33" s="21">
        <v>2.0572E-2</v>
      </c>
      <c r="C33" s="3"/>
      <c r="D33" s="22" t="s">
        <v>136</v>
      </c>
      <c r="E33" s="4"/>
    </row>
    <row r="34" spans="1:46" x14ac:dyDescent="0.35">
      <c r="B34" s="21">
        <v>3.3900300000000001E-2</v>
      </c>
      <c r="C34" s="3"/>
      <c r="D34" s="22" t="s">
        <v>223</v>
      </c>
      <c r="E34" s="4"/>
    </row>
    <row r="35" spans="1:46" x14ac:dyDescent="0.35">
      <c r="B35" s="21">
        <v>0.31709700000000002</v>
      </c>
      <c r="C35" s="3"/>
      <c r="D35" s="22" t="s">
        <v>224</v>
      </c>
      <c r="E35" s="4"/>
    </row>
    <row r="36" spans="1:46" x14ac:dyDescent="0.35">
      <c r="B36" s="21">
        <v>7.4850000000000003E-3</v>
      </c>
      <c r="C36" s="3"/>
      <c r="D36" s="22" t="s">
        <v>134</v>
      </c>
      <c r="E36" s="4"/>
    </row>
    <row r="37" spans="1:46" x14ac:dyDescent="0.35">
      <c r="B37" s="21">
        <v>4.0400000000000001E-4</v>
      </c>
      <c r="C37" s="3"/>
      <c r="D37" s="22" t="s">
        <v>226</v>
      </c>
      <c r="E37" s="4"/>
    </row>
    <row r="38" spans="1:46" x14ac:dyDescent="0.35">
      <c r="B38" s="21">
        <v>1.914706E-2</v>
      </c>
      <c r="C38" s="3"/>
      <c r="D38" s="22" t="s">
        <v>225</v>
      </c>
      <c r="E38" s="4"/>
    </row>
    <row r="39" spans="1:46" x14ac:dyDescent="0.35">
      <c r="B39" s="21">
        <v>0</v>
      </c>
      <c r="C39" s="3"/>
      <c r="D39" s="22" t="s">
        <v>135</v>
      </c>
      <c r="E39" s="4"/>
    </row>
    <row r="40" spans="1:46" x14ac:dyDescent="0.35">
      <c r="B40" s="21">
        <v>1.9431140000000013E-2</v>
      </c>
      <c r="C40" s="3"/>
      <c r="D40" s="13" t="s">
        <v>227</v>
      </c>
      <c r="E40" s="4"/>
    </row>
    <row r="41" spans="1:46" x14ac:dyDescent="0.35">
      <c r="B41" s="2">
        <f>SUM(CROP_DISTRIBUTION)</f>
        <v>1</v>
      </c>
    </row>
    <row r="43" spans="1:46" s="22" customFormat="1" x14ac:dyDescent="0.35">
      <c r="A43" s="23" t="s">
        <v>316</v>
      </c>
      <c r="B43" s="11">
        <v>2018</v>
      </c>
      <c r="C43" s="11">
        <v>2019</v>
      </c>
      <c r="D43" s="11">
        <v>2020</v>
      </c>
      <c r="E43" s="11">
        <v>2021</v>
      </c>
      <c r="F43" s="11">
        <v>2022</v>
      </c>
      <c r="G43" s="11">
        <v>2023</v>
      </c>
      <c r="H43" s="11">
        <v>2024</v>
      </c>
      <c r="I43" s="11">
        <v>2025</v>
      </c>
      <c r="J43" s="11">
        <v>2026</v>
      </c>
      <c r="K43" s="11">
        <v>2027</v>
      </c>
      <c r="L43" s="11">
        <v>2028</v>
      </c>
      <c r="M43" s="11">
        <v>2029</v>
      </c>
      <c r="N43" s="11">
        <v>2030</v>
      </c>
      <c r="O43" s="11">
        <v>2031</v>
      </c>
      <c r="P43" s="11">
        <v>2032</v>
      </c>
      <c r="Q43" s="11">
        <v>2033</v>
      </c>
      <c r="R43" s="11">
        <v>2034</v>
      </c>
      <c r="S43" s="11">
        <v>2035</v>
      </c>
      <c r="T43" s="11">
        <v>2036</v>
      </c>
      <c r="U43" s="11">
        <v>2037</v>
      </c>
      <c r="V43" s="11">
        <v>2038</v>
      </c>
      <c r="W43" s="11">
        <v>2039</v>
      </c>
      <c r="X43" s="11">
        <v>2040</v>
      </c>
      <c r="Y43" s="11">
        <v>2041</v>
      </c>
      <c r="Z43" s="11">
        <v>2042</v>
      </c>
      <c r="AA43" s="11">
        <v>2043</v>
      </c>
      <c r="AB43" s="11">
        <v>2044</v>
      </c>
      <c r="AC43" s="8">
        <v>2045</v>
      </c>
      <c r="AD43" s="8">
        <v>2046</v>
      </c>
      <c r="AE43" s="8">
        <v>2047</v>
      </c>
      <c r="AF43" s="8">
        <v>2048</v>
      </c>
      <c r="AG43" s="8">
        <v>2049</v>
      </c>
      <c r="AH43" s="8">
        <v>2050</v>
      </c>
      <c r="AI43" s="8">
        <v>2051</v>
      </c>
      <c r="AJ43" s="8">
        <v>2052</v>
      </c>
      <c r="AK43" s="8">
        <v>2053</v>
      </c>
      <c r="AL43" s="8">
        <v>2054</v>
      </c>
      <c r="AM43" s="8">
        <v>2055</v>
      </c>
      <c r="AN43" s="8">
        <v>2056</v>
      </c>
      <c r="AO43" s="8">
        <v>2057</v>
      </c>
      <c r="AP43" s="8">
        <v>2058</v>
      </c>
      <c r="AQ43" s="8">
        <v>2059</v>
      </c>
      <c r="AR43" s="8">
        <v>2060</v>
      </c>
      <c r="AS43" s="25" t="s">
        <v>39</v>
      </c>
    </row>
    <row r="44" spans="1:46" s="22" customFormat="1" x14ac:dyDescent="0.35">
      <c r="A44" s="23" t="s">
        <v>317</v>
      </c>
      <c r="B44" s="24">
        <v>-35.589166666668916</v>
      </c>
      <c r="C44" s="24">
        <v>-35.589166666657547</v>
      </c>
      <c r="D44" s="24">
        <v>-35.589166666672099</v>
      </c>
      <c r="E44" s="24">
        <v>-35.589166666672099</v>
      </c>
      <c r="F44" s="24">
        <v>-35.589166666657547</v>
      </c>
      <c r="G44" s="24">
        <v>-35.589166666672099</v>
      </c>
      <c r="H44" s="24">
        <v>-35.589166666672099</v>
      </c>
      <c r="I44" s="24">
        <v>-35.589166666657547</v>
      </c>
      <c r="J44" s="24">
        <v>-35.589166666672099</v>
      </c>
      <c r="K44" s="24">
        <v>-35.589166666672099</v>
      </c>
      <c r="L44" s="24">
        <v>-35.589166666657547</v>
      </c>
      <c r="M44" s="24">
        <v>-35.589166666672099</v>
      </c>
      <c r="N44" s="24">
        <v>43.033999999999651</v>
      </c>
      <c r="O44" s="24">
        <v>43.033999999999651</v>
      </c>
      <c r="P44" s="24">
        <v>43.033999999999651</v>
      </c>
      <c r="Q44" s="24">
        <v>43.033999999999651</v>
      </c>
      <c r="R44" s="24">
        <v>43.033999999999651</v>
      </c>
      <c r="S44" s="24">
        <v>43.033999999999651</v>
      </c>
      <c r="T44" s="24">
        <v>43.033999999999651</v>
      </c>
      <c r="U44" s="24">
        <v>43.033999999999651</v>
      </c>
      <c r="V44" s="24">
        <v>43.033999999999651</v>
      </c>
      <c r="W44" s="24">
        <v>43.033999999999651</v>
      </c>
      <c r="X44" s="24">
        <v>7.2759576141834259E-12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24">
        <v>0</v>
      </c>
      <c r="AE44" s="24">
        <v>0</v>
      </c>
      <c r="AF44" s="24">
        <v>0</v>
      </c>
      <c r="AG44" s="24">
        <v>0</v>
      </c>
      <c r="AH44" s="24">
        <v>0</v>
      </c>
      <c r="AI44" s="24">
        <v>0</v>
      </c>
      <c r="AJ44" s="24">
        <v>0</v>
      </c>
      <c r="AK44" s="24">
        <v>0</v>
      </c>
      <c r="AL44" s="24">
        <v>0</v>
      </c>
      <c r="AM44" s="24">
        <v>0</v>
      </c>
      <c r="AN44" s="24">
        <v>0</v>
      </c>
      <c r="AO44" s="24">
        <v>0</v>
      </c>
      <c r="AP44" s="24">
        <v>0</v>
      </c>
      <c r="AQ44" s="24">
        <v>0</v>
      </c>
      <c r="AR44" s="24">
        <v>0</v>
      </c>
      <c r="AS44" s="25" t="s">
        <v>106</v>
      </c>
      <c r="AT44" s="26"/>
    </row>
    <row r="45" spans="1:46" s="22" customFormat="1" x14ac:dyDescent="0.35"/>
    <row r="46" spans="1:46" s="22" customFormat="1" x14ac:dyDescent="0.35">
      <c r="A46" s="23" t="s">
        <v>318</v>
      </c>
      <c r="B46" s="8">
        <v>2018</v>
      </c>
      <c r="C46" s="25" t="s">
        <v>39</v>
      </c>
    </row>
    <row r="47" spans="1:46" s="22" customFormat="1" x14ac:dyDescent="0.35">
      <c r="A47" s="23" t="s">
        <v>319</v>
      </c>
      <c r="B47" s="24">
        <v>3544.0499999999997</v>
      </c>
      <c r="C47" s="25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EAB5-3E1E-4498-AA8F-F2C9EE34A5DA}">
  <dimension ref="A1:AS49"/>
  <sheetViews>
    <sheetView topLeftCell="A25" zoomScale="97" zoomScaleNormal="70" workbookViewId="0">
      <selection activeCell="G56" sqref="G56"/>
    </sheetView>
  </sheetViews>
  <sheetFormatPr baseColWidth="10" defaultRowHeight="14.5" x14ac:dyDescent="0.35"/>
  <cols>
    <col min="1" max="1" width="33.453125" customWidth="1"/>
    <col min="2" max="2" width="22.54296875" bestFit="1" customWidth="1"/>
  </cols>
  <sheetData>
    <row r="1" spans="1:4" s="22" customFormat="1" x14ac:dyDescent="0.35"/>
    <row r="2" spans="1:4" s="22" customFormat="1" x14ac:dyDescent="0.35">
      <c r="A2" s="23" t="s">
        <v>334</v>
      </c>
      <c r="B2" s="41">
        <v>0.44190000000000002</v>
      </c>
      <c r="C2" s="25"/>
      <c r="D2" s="26"/>
    </row>
    <row r="3" spans="1:4" s="22" customFormat="1" x14ac:dyDescent="0.35">
      <c r="A3" s="26"/>
      <c r="B3" s="42"/>
      <c r="D3" s="26"/>
    </row>
    <row r="4" spans="1:4" s="22" customFormat="1" x14ac:dyDescent="0.35">
      <c r="A4" s="23" t="s">
        <v>335</v>
      </c>
      <c r="B4" s="41">
        <v>0.40699999999999997</v>
      </c>
      <c r="C4" s="25"/>
      <c r="D4" s="26"/>
    </row>
    <row r="6" spans="1:4" x14ac:dyDescent="0.35">
      <c r="A6" s="1" t="s">
        <v>166</v>
      </c>
      <c r="B6" s="12">
        <v>1.5874999999999999</v>
      </c>
      <c r="C6" s="3"/>
    </row>
    <row r="7" spans="1:4" x14ac:dyDescent="0.35">
      <c r="A7" s="1" t="s">
        <v>167</v>
      </c>
      <c r="B7" s="6">
        <v>-296136</v>
      </c>
      <c r="C7" s="3"/>
    </row>
    <row r="9" spans="1:4" x14ac:dyDescent="0.35">
      <c r="A9" s="1" t="s">
        <v>168</v>
      </c>
      <c r="B9" s="12">
        <v>-0.13689999999999999</v>
      </c>
      <c r="C9" s="3"/>
    </row>
    <row r="10" spans="1:4" x14ac:dyDescent="0.35">
      <c r="A10" s="1" t="s">
        <v>169</v>
      </c>
      <c r="B10" s="6">
        <v>66853</v>
      </c>
      <c r="C10" s="3"/>
    </row>
    <row r="12" spans="1:4" x14ac:dyDescent="0.35">
      <c r="A12" s="1" t="s">
        <v>176</v>
      </c>
      <c r="B12" s="12">
        <v>2.3E-2</v>
      </c>
      <c r="C12" s="3"/>
    </row>
    <row r="13" spans="1:4" x14ac:dyDescent="0.35">
      <c r="A13" s="1" t="s">
        <v>177</v>
      </c>
      <c r="B13" s="6">
        <v>-2801.5</v>
      </c>
      <c r="C13" s="3"/>
    </row>
    <row r="15" spans="1:4" x14ac:dyDescent="0.35">
      <c r="A15" s="1" t="s">
        <v>178</v>
      </c>
      <c r="B15" s="12">
        <v>-3.2800000000000003E-2</v>
      </c>
      <c r="C15" s="3"/>
    </row>
    <row r="16" spans="1:4" x14ac:dyDescent="0.35">
      <c r="A16" s="1" t="s">
        <v>179</v>
      </c>
      <c r="B16" s="6">
        <v>9585.9</v>
      </c>
      <c r="C16" s="3"/>
    </row>
    <row r="18" spans="1:3" x14ac:dyDescent="0.35">
      <c r="A18" s="1" t="s">
        <v>180</v>
      </c>
      <c r="B18" s="5">
        <v>-6.3799999999999996E-2</v>
      </c>
      <c r="C18" s="3"/>
    </row>
    <row r="19" spans="1:3" x14ac:dyDescent="0.35">
      <c r="A19" s="1" t="s">
        <v>181</v>
      </c>
      <c r="B19" s="5">
        <v>14848</v>
      </c>
      <c r="C19" s="3"/>
    </row>
    <row r="20" spans="1:3" x14ac:dyDescent="0.35">
      <c r="A20" s="1" t="s">
        <v>182</v>
      </c>
      <c r="B20" s="5">
        <v>0</v>
      </c>
      <c r="C20" s="3"/>
    </row>
    <row r="22" spans="1:3" x14ac:dyDescent="0.35">
      <c r="A22" s="1" t="s">
        <v>183</v>
      </c>
      <c r="B22" s="5">
        <v>0.30890000000000001</v>
      </c>
      <c r="C22" s="3"/>
    </row>
    <row r="23" spans="1:3" x14ac:dyDescent="0.35">
      <c r="A23" s="1" t="s">
        <v>184</v>
      </c>
      <c r="B23" s="5">
        <v>-31105</v>
      </c>
      <c r="C23" s="3"/>
    </row>
    <row r="25" spans="1:3" x14ac:dyDescent="0.35">
      <c r="A25" s="1" t="s">
        <v>185</v>
      </c>
      <c r="B25" s="14">
        <v>0.1145</v>
      </c>
      <c r="C25" s="3"/>
    </row>
    <row r="26" spans="1:3" x14ac:dyDescent="0.35">
      <c r="A26" s="1" t="s">
        <v>186</v>
      </c>
      <c r="B26" s="5">
        <v>1365.8</v>
      </c>
      <c r="C26" s="3"/>
    </row>
    <row r="27" spans="1:3" x14ac:dyDescent="0.35">
      <c r="A27" s="1" t="s">
        <v>187</v>
      </c>
      <c r="B27" s="5">
        <v>0</v>
      </c>
      <c r="C27" s="3"/>
    </row>
    <row r="28" spans="1:3" x14ac:dyDescent="0.35">
      <c r="A28" s="1" t="s">
        <v>203</v>
      </c>
      <c r="B28" s="5">
        <v>0</v>
      </c>
      <c r="C28" s="3"/>
    </row>
    <row r="29" spans="1:3" s="4" customFormat="1" x14ac:dyDescent="0.35">
      <c r="B29" s="15"/>
    </row>
    <row r="30" spans="1:3" x14ac:dyDescent="0.35">
      <c r="A30" s="1" t="s">
        <v>188</v>
      </c>
      <c r="B30" s="5">
        <v>2.4215</v>
      </c>
      <c r="C30" s="3"/>
    </row>
    <row r="31" spans="1:3" x14ac:dyDescent="0.35">
      <c r="A31" s="1" t="s">
        <v>189</v>
      </c>
      <c r="B31" s="5">
        <v>38292</v>
      </c>
      <c r="C31" s="3"/>
    </row>
    <row r="32" spans="1:3" x14ac:dyDescent="0.35">
      <c r="A32" s="1" t="s">
        <v>202</v>
      </c>
      <c r="B32" s="5">
        <v>1.4999999999999999E-2</v>
      </c>
      <c r="C32" s="3"/>
    </row>
    <row r="34" spans="1:45" x14ac:dyDescent="0.35">
      <c r="A34" s="1" t="s">
        <v>62</v>
      </c>
      <c r="B34" s="12" t="s">
        <v>44</v>
      </c>
    </row>
    <row r="36" spans="1:45" x14ac:dyDescent="0.35">
      <c r="A36" s="1" t="s">
        <v>63</v>
      </c>
      <c r="B36" s="12" t="s">
        <v>50</v>
      </c>
    </row>
    <row r="38" spans="1:45" x14ac:dyDescent="0.35">
      <c r="A38" s="1" t="s">
        <v>197</v>
      </c>
      <c r="B38" s="8">
        <v>2018</v>
      </c>
      <c r="C38" s="3" t="s">
        <v>39</v>
      </c>
    </row>
    <row r="39" spans="1:45" x14ac:dyDescent="0.35">
      <c r="A39" s="1" t="s">
        <v>194</v>
      </c>
      <c r="B39" s="2">
        <v>7.3382799999999998E-2</v>
      </c>
      <c r="C39" s="3"/>
    </row>
    <row r="40" spans="1:45" x14ac:dyDescent="0.35">
      <c r="A40" s="1" t="s">
        <v>198</v>
      </c>
      <c r="B40" s="2">
        <v>1.8E-3</v>
      </c>
      <c r="C40" s="3"/>
    </row>
    <row r="41" spans="1:45" x14ac:dyDescent="0.35">
      <c r="A41" s="1" t="s">
        <v>195</v>
      </c>
      <c r="B41" s="24">
        <v>8504.58</v>
      </c>
      <c r="C41" s="3" t="s">
        <v>196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</row>
    <row r="43" spans="1:45" x14ac:dyDescent="0.35">
      <c r="A43" s="23" t="s">
        <v>247</v>
      </c>
      <c r="B43" s="12">
        <v>3</v>
      </c>
      <c r="C43" s="25" t="s">
        <v>248</v>
      </c>
    </row>
    <row r="45" spans="1:45" s="22" customFormat="1" x14ac:dyDescent="0.35">
      <c r="A45" s="23" t="s">
        <v>320</v>
      </c>
      <c r="B45" s="8">
        <v>2018</v>
      </c>
      <c r="C45" s="9" t="s">
        <v>39</v>
      </c>
    </row>
    <row r="46" spans="1:45" s="22" customFormat="1" x14ac:dyDescent="0.35">
      <c r="A46" s="23" t="s">
        <v>321</v>
      </c>
      <c r="B46" s="24">
        <v>105675.97804934398</v>
      </c>
      <c r="C46" s="25" t="s">
        <v>41</v>
      </c>
    </row>
    <row r="47" spans="1:45" s="22" customFormat="1" x14ac:dyDescent="0.35"/>
    <row r="48" spans="1:45" s="22" customFormat="1" x14ac:dyDescent="0.35">
      <c r="A48" s="23" t="s">
        <v>322</v>
      </c>
      <c r="B48" s="11">
        <v>2018</v>
      </c>
      <c r="C48" s="11">
        <v>2019</v>
      </c>
      <c r="D48" s="11">
        <v>2020</v>
      </c>
      <c r="E48" s="11">
        <v>2021</v>
      </c>
      <c r="F48" s="11">
        <v>2022</v>
      </c>
      <c r="G48" s="11">
        <v>2023</v>
      </c>
      <c r="H48" s="11">
        <v>2024</v>
      </c>
      <c r="I48" s="11">
        <v>2025</v>
      </c>
      <c r="J48" s="11">
        <v>2026</v>
      </c>
      <c r="K48" s="11">
        <v>2027</v>
      </c>
      <c r="L48" s="11">
        <v>2028</v>
      </c>
      <c r="M48" s="11">
        <v>2029</v>
      </c>
      <c r="N48" s="11">
        <v>2030</v>
      </c>
      <c r="O48" s="11">
        <v>2031</v>
      </c>
      <c r="P48" s="11">
        <v>2032</v>
      </c>
      <c r="Q48" s="11">
        <v>2033</v>
      </c>
      <c r="R48" s="11">
        <v>2034</v>
      </c>
      <c r="S48" s="11">
        <v>2035</v>
      </c>
      <c r="T48" s="11">
        <v>2036</v>
      </c>
      <c r="U48" s="11">
        <v>2037</v>
      </c>
      <c r="V48" s="11">
        <v>2038</v>
      </c>
      <c r="W48" s="11">
        <v>2039</v>
      </c>
      <c r="X48" s="11">
        <v>2040</v>
      </c>
      <c r="Y48" s="11">
        <v>2041</v>
      </c>
      <c r="Z48" s="11">
        <v>2042</v>
      </c>
      <c r="AA48" s="11">
        <v>2043</v>
      </c>
      <c r="AB48" s="11">
        <v>2044</v>
      </c>
      <c r="AC48" s="8">
        <v>2045</v>
      </c>
      <c r="AD48" s="8">
        <v>2046</v>
      </c>
      <c r="AE48" s="8">
        <v>2047</v>
      </c>
      <c r="AF48" s="8">
        <v>2048</v>
      </c>
      <c r="AG48" s="8">
        <v>2049</v>
      </c>
      <c r="AH48" s="8">
        <v>2050</v>
      </c>
      <c r="AI48" s="8">
        <v>2051</v>
      </c>
      <c r="AJ48" s="8">
        <v>2052</v>
      </c>
      <c r="AK48" s="8">
        <v>2053</v>
      </c>
      <c r="AL48" s="8">
        <v>2054</v>
      </c>
      <c r="AM48" s="8">
        <v>2055</v>
      </c>
      <c r="AN48" s="8">
        <v>2056</v>
      </c>
      <c r="AO48" s="8">
        <v>2057</v>
      </c>
      <c r="AP48" s="8">
        <v>2058</v>
      </c>
      <c r="AQ48" s="8">
        <v>2059</v>
      </c>
      <c r="AR48" s="8">
        <v>2060</v>
      </c>
      <c r="AS48" s="25" t="s">
        <v>39</v>
      </c>
    </row>
    <row r="49" spans="1:45" s="22" customFormat="1" x14ac:dyDescent="0.35">
      <c r="A49" s="23" t="s">
        <v>323</v>
      </c>
      <c r="B49" s="24">
        <v>-2474.5011676881113</v>
      </c>
      <c r="C49" s="24">
        <v>-2474.5011676885188</v>
      </c>
      <c r="D49" s="24">
        <v>-2474.5011676885188</v>
      </c>
      <c r="E49" s="24">
        <v>-2474.5011676885188</v>
      </c>
      <c r="F49" s="24">
        <v>-2474.5011676885188</v>
      </c>
      <c r="G49" s="24">
        <v>-2474.5011676885188</v>
      </c>
      <c r="H49" s="24">
        <v>-2474.5011676885188</v>
      </c>
      <c r="I49" s="24">
        <v>-2474.5011676875874</v>
      </c>
      <c r="J49" s="24">
        <v>-2474.5011676885188</v>
      </c>
      <c r="K49" s="24">
        <v>-2474.5011676885188</v>
      </c>
      <c r="L49" s="24">
        <v>-2474.5011676885188</v>
      </c>
      <c r="M49" s="24">
        <v>-2474.5011676885188</v>
      </c>
      <c r="N49" s="24">
        <v>662.22257428639568</v>
      </c>
      <c r="O49" s="24">
        <v>662.22257428616285</v>
      </c>
      <c r="P49" s="24">
        <v>662.22257428616285</v>
      </c>
      <c r="Q49" s="24">
        <v>662.22257428639568</v>
      </c>
      <c r="R49" s="24">
        <v>662.22257428616285</v>
      </c>
      <c r="S49" s="24">
        <v>662.22257428616285</v>
      </c>
      <c r="T49" s="24">
        <v>662.22257428616285</v>
      </c>
      <c r="U49" s="24">
        <v>662.22257428616285</v>
      </c>
      <c r="V49" s="24">
        <v>662.22257428616285</v>
      </c>
      <c r="W49" s="24">
        <v>662.22257428639568</v>
      </c>
      <c r="X49" s="24">
        <v>-531.05578515352681</v>
      </c>
      <c r="Y49" s="24">
        <v>-531.05578515375964</v>
      </c>
      <c r="Z49" s="24">
        <v>-531.05578515352681</v>
      </c>
      <c r="AA49" s="24">
        <v>-531.05578515375964</v>
      </c>
      <c r="AB49" s="24">
        <v>-531.05578515352681</v>
      </c>
      <c r="AC49" s="24">
        <v>-531.05578515375964</v>
      </c>
      <c r="AD49" s="24">
        <v>-531.05578515352681</v>
      </c>
      <c r="AE49" s="24">
        <v>-531.05578515375964</v>
      </c>
      <c r="AF49" s="24">
        <v>-531.05578515375964</v>
      </c>
      <c r="AG49" s="24">
        <v>-531.05578515352681</v>
      </c>
      <c r="AH49" s="24">
        <v>-592.55773687711917</v>
      </c>
      <c r="AI49" s="24">
        <v>-592.55773687711917</v>
      </c>
      <c r="AJ49" s="24">
        <v>-592.55773687688634</v>
      </c>
      <c r="AK49" s="24">
        <v>-592.55773687711917</v>
      </c>
      <c r="AL49" s="24">
        <v>-592.55773687688634</v>
      </c>
      <c r="AM49" s="24">
        <v>-592.55773687711917</v>
      </c>
      <c r="AN49" s="24">
        <v>-592.55773687711917</v>
      </c>
      <c r="AO49" s="24">
        <v>-592.55773687688634</v>
      </c>
      <c r="AP49" s="24">
        <v>-592.55773687711917</v>
      </c>
      <c r="AQ49" s="24">
        <v>-592.55773687711917</v>
      </c>
      <c r="AR49" s="24">
        <v>0</v>
      </c>
      <c r="AS49" s="2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C528-9BC2-4E28-8B28-5EBF76FDF143}">
  <dimension ref="A2:AS138"/>
  <sheetViews>
    <sheetView tabSelected="1" topLeftCell="A67" zoomScale="91" zoomScaleNormal="115" workbookViewId="0">
      <selection activeCell="E77" sqref="E77:H78"/>
    </sheetView>
  </sheetViews>
  <sheetFormatPr baseColWidth="10" defaultRowHeight="14.5" x14ac:dyDescent="0.35"/>
  <cols>
    <col min="1" max="1" width="51.7265625" customWidth="1"/>
  </cols>
  <sheetData>
    <row r="2" spans="1:45" x14ac:dyDescent="0.35">
      <c r="A2" s="1" t="s">
        <v>94</v>
      </c>
      <c r="B2" s="8">
        <v>2018</v>
      </c>
      <c r="C2" s="9" t="s">
        <v>39</v>
      </c>
    </row>
    <row r="3" spans="1:45" x14ac:dyDescent="0.35">
      <c r="A3" s="1" t="s">
        <v>0</v>
      </c>
      <c r="B3" s="2">
        <v>197734</v>
      </c>
      <c r="C3" s="3" t="s">
        <v>41</v>
      </c>
    </row>
    <row r="5" spans="1:45" x14ac:dyDescent="0.35">
      <c r="A5" s="1" t="s">
        <v>172</v>
      </c>
      <c r="B5" s="11">
        <v>2018</v>
      </c>
      <c r="C5" s="11">
        <v>2019</v>
      </c>
      <c r="D5" s="11">
        <v>2020</v>
      </c>
      <c r="E5" s="11">
        <v>2021</v>
      </c>
      <c r="F5" s="11">
        <v>2022</v>
      </c>
      <c r="G5" s="11">
        <v>2023</v>
      </c>
      <c r="H5" s="11">
        <v>2024</v>
      </c>
      <c r="I5" s="11">
        <v>2025</v>
      </c>
      <c r="J5" s="11">
        <v>2026</v>
      </c>
      <c r="K5" s="11">
        <v>2027</v>
      </c>
      <c r="L5" s="11">
        <v>2028</v>
      </c>
      <c r="M5" s="11">
        <v>2029</v>
      </c>
      <c r="N5" s="11">
        <v>2030</v>
      </c>
      <c r="O5" s="11">
        <v>2031</v>
      </c>
      <c r="P5" s="11">
        <v>2032</v>
      </c>
      <c r="Q5" s="11">
        <v>2033</v>
      </c>
      <c r="R5" s="11">
        <v>2034</v>
      </c>
      <c r="S5" s="11">
        <v>2035</v>
      </c>
      <c r="T5" s="11">
        <v>2036</v>
      </c>
      <c r="U5" s="11">
        <v>2037</v>
      </c>
      <c r="V5" s="11">
        <v>2038</v>
      </c>
      <c r="W5" s="11">
        <v>2039</v>
      </c>
      <c r="X5" s="11">
        <v>2040</v>
      </c>
      <c r="Y5" s="11">
        <v>2041</v>
      </c>
      <c r="Z5" s="11">
        <v>2042</v>
      </c>
      <c r="AA5" s="11">
        <v>2043</v>
      </c>
      <c r="AB5" s="11">
        <v>2044</v>
      </c>
      <c r="AC5" s="8">
        <v>2045</v>
      </c>
      <c r="AD5" s="8">
        <v>2046</v>
      </c>
      <c r="AE5" s="8">
        <v>2047</v>
      </c>
      <c r="AF5" s="8">
        <v>2048</v>
      </c>
      <c r="AG5" s="8">
        <v>2049</v>
      </c>
      <c r="AH5" s="8">
        <v>2050</v>
      </c>
      <c r="AI5" s="8">
        <v>2051</v>
      </c>
      <c r="AJ5" s="8">
        <v>2052</v>
      </c>
      <c r="AK5" s="8">
        <v>2053</v>
      </c>
      <c r="AL5" s="8">
        <v>2054</v>
      </c>
      <c r="AM5" s="8">
        <v>2055</v>
      </c>
      <c r="AN5" s="8">
        <v>2056</v>
      </c>
      <c r="AO5" s="8">
        <v>2057</v>
      </c>
      <c r="AP5" s="8">
        <v>2058</v>
      </c>
      <c r="AQ5" s="8">
        <v>2059</v>
      </c>
      <c r="AR5" s="8">
        <v>2060</v>
      </c>
      <c r="AS5" s="3" t="s">
        <v>39</v>
      </c>
    </row>
    <row r="6" spans="1:45" x14ac:dyDescent="0.35">
      <c r="A6" s="1" t="s">
        <v>170</v>
      </c>
      <c r="B6" s="24">
        <v>-3295</v>
      </c>
      <c r="C6" s="24">
        <v>-2276</v>
      </c>
      <c r="D6" s="24">
        <v>-2416</v>
      </c>
      <c r="E6" s="24">
        <v>2819</v>
      </c>
      <c r="F6" s="24">
        <v>-1568</v>
      </c>
      <c r="G6" s="24">
        <v>-1662</v>
      </c>
      <c r="H6" s="24">
        <v>-1030</v>
      </c>
      <c r="I6" s="24">
        <v>-837</v>
      </c>
      <c r="J6" s="24">
        <v>-837</v>
      </c>
      <c r="K6" s="24">
        <v>-837</v>
      </c>
      <c r="L6" s="24">
        <v>-837</v>
      </c>
      <c r="M6" s="24">
        <v>-837</v>
      </c>
      <c r="N6" s="24">
        <v>-965.20000000018626</v>
      </c>
      <c r="O6" s="24">
        <v>-965.19999999995343</v>
      </c>
      <c r="P6" s="24">
        <v>-965.19999999995343</v>
      </c>
      <c r="Q6" s="24">
        <v>-965.19999999995343</v>
      </c>
      <c r="R6" s="24">
        <v>-965.19999999995343</v>
      </c>
      <c r="S6" s="24">
        <v>-894.60000000009313</v>
      </c>
      <c r="T6" s="24">
        <v>-894.5999999998603</v>
      </c>
      <c r="U6" s="24">
        <v>-894.60000000009313</v>
      </c>
      <c r="V6" s="24">
        <v>-894.60000000009313</v>
      </c>
      <c r="W6" s="24">
        <v>-894.5999999998603</v>
      </c>
      <c r="X6" s="24">
        <v>-1147.4000000003725</v>
      </c>
      <c r="Y6" s="24">
        <v>-1147.3999999999069</v>
      </c>
      <c r="Z6" s="24">
        <v>-1147.3999999999069</v>
      </c>
      <c r="AA6" s="24">
        <v>-1147.3999999999069</v>
      </c>
      <c r="AB6" s="24">
        <v>-1147.3999999999069</v>
      </c>
      <c r="AC6" s="24">
        <v>-1094</v>
      </c>
      <c r="AD6" s="24">
        <v>-1094</v>
      </c>
      <c r="AE6" s="24">
        <v>-1094</v>
      </c>
      <c r="AF6" s="24">
        <v>-1094</v>
      </c>
      <c r="AG6" s="24">
        <v>-1094</v>
      </c>
      <c r="AH6" s="24">
        <v>-1250</v>
      </c>
      <c r="AI6" s="24">
        <v>-1250</v>
      </c>
      <c r="AJ6" s="24">
        <v>-1250</v>
      </c>
      <c r="AK6" s="24">
        <v>-1250</v>
      </c>
      <c r="AL6" s="24">
        <v>-1250</v>
      </c>
      <c r="AM6" s="24">
        <v>-1219</v>
      </c>
      <c r="AN6" s="24">
        <v>-1219</v>
      </c>
      <c r="AO6" s="24">
        <v>-1219</v>
      </c>
      <c r="AP6" s="24">
        <v>-1219</v>
      </c>
      <c r="AQ6" s="24">
        <v>-1219</v>
      </c>
      <c r="AR6" s="24">
        <v>0</v>
      </c>
      <c r="AS6" s="3"/>
    </row>
    <row r="7" spans="1:45" x14ac:dyDescent="0.35">
      <c r="A7" s="1" t="s">
        <v>171</v>
      </c>
      <c r="B7" s="24">
        <v>-3295</v>
      </c>
      <c r="C7" s="24">
        <v>-2276</v>
      </c>
      <c r="D7" s="24">
        <v>-2416</v>
      </c>
      <c r="E7" s="24">
        <v>2819</v>
      </c>
      <c r="F7" s="24">
        <v>-1568</v>
      </c>
      <c r="G7" s="24">
        <v>-1662</v>
      </c>
      <c r="H7" s="24">
        <v>-1124.1999999997206</v>
      </c>
      <c r="I7" s="24">
        <v>-1030.7999999998137</v>
      </c>
      <c r="J7" s="24">
        <v>-1030.8000000000466</v>
      </c>
      <c r="K7" s="24">
        <v>-1030.8000000000466</v>
      </c>
      <c r="L7" s="24">
        <v>-1030.8000000000466</v>
      </c>
      <c r="M7" s="24">
        <v>-1030.8000000000466</v>
      </c>
      <c r="N7" s="24">
        <v>-1081.5999999996275</v>
      </c>
      <c r="O7" s="24">
        <v>-1081.6000000000931</v>
      </c>
      <c r="P7" s="24">
        <v>-1081.6000000000931</v>
      </c>
      <c r="Q7" s="24">
        <v>-1081.6000000000931</v>
      </c>
      <c r="R7" s="24">
        <v>-1081.6000000000931</v>
      </c>
      <c r="S7" s="24">
        <v>-1130.4000000003725</v>
      </c>
      <c r="T7" s="24">
        <v>-1130.3999999999069</v>
      </c>
      <c r="U7" s="24">
        <v>-1130.3999999999069</v>
      </c>
      <c r="V7" s="24">
        <v>-1130.3999999999069</v>
      </c>
      <c r="W7" s="24">
        <v>-1130.3999999999069</v>
      </c>
      <c r="X7" s="24">
        <v>-1223.4000000003725</v>
      </c>
      <c r="Y7" s="24">
        <v>-1223.3999999999069</v>
      </c>
      <c r="Z7" s="24">
        <v>-1223.3999999999069</v>
      </c>
      <c r="AA7" s="24">
        <v>-1223.3999999999069</v>
      </c>
      <c r="AB7" s="24">
        <v>-1223.3999999999069</v>
      </c>
      <c r="AC7" s="24">
        <v>-1259</v>
      </c>
      <c r="AD7" s="24">
        <v>-1259</v>
      </c>
      <c r="AE7" s="24">
        <v>-1259</v>
      </c>
      <c r="AF7" s="24">
        <v>-1259</v>
      </c>
      <c r="AG7" s="24">
        <v>-1259</v>
      </c>
      <c r="AH7" s="24">
        <v>-1333</v>
      </c>
      <c r="AI7" s="24">
        <v>-1333</v>
      </c>
      <c r="AJ7" s="24">
        <v>-1333</v>
      </c>
      <c r="AK7" s="24">
        <v>-1333</v>
      </c>
      <c r="AL7" s="24">
        <v>-1333</v>
      </c>
      <c r="AM7" s="24">
        <v>-1484.5999999996275</v>
      </c>
      <c r="AN7" s="24">
        <v>-1484.6000000000931</v>
      </c>
      <c r="AO7" s="24">
        <v>-1484.6000000000931</v>
      </c>
      <c r="AP7" s="24">
        <v>-1484.6000000000931</v>
      </c>
      <c r="AQ7" s="24">
        <v>-1484.6000000000931</v>
      </c>
      <c r="AR7" s="24">
        <v>0</v>
      </c>
      <c r="AS7" s="3"/>
    </row>
    <row r="8" spans="1:45" s="4" customFormat="1" x14ac:dyDescent="0.35"/>
    <row r="9" spans="1:45" x14ac:dyDescent="0.35">
      <c r="A9" s="1" t="s">
        <v>95</v>
      </c>
      <c r="B9" s="8">
        <v>2018</v>
      </c>
      <c r="C9" s="3" t="s">
        <v>39</v>
      </c>
    </row>
    <row r="10" spans="1:45" x14ac:dyDescent="0.35">
      <c r="A10" s="1" t="s">
        <v>216</v>
      </c>
      <c r="B10" s="24">
        <v>3.1396299999999999</v>
      </c>
      <c r="C10" s="3" t="s">
        <v>42</v>
      </c>
    </row>
    <row r="11" spans="1:45" x14ac:dyDescent="0.35">
      <c r="A11" s="1" t="s">
        <v>217</v>
      </c>
      <c r="B11" s="24">
        <v>1.0849299999999999E-2</v>
      </c>
      <c r="C11" s="3"/>
    </row>
    <row r="12" spans="1:45" x14ac:dyDescent="0.35">
      <c r="A12" s="1" t="s">
        <v>218</v>
      </c>
      <c r="B12" s="2">
        <v>0.9</v>
      </c>
      <c r="C12" s="3"/>
    </row>
    <row r="13" spans="1:45" s="26" customFormat="1" x14ac:dyDescent="0.35"/>
    <row r="14" spans="1:45" s="22" customFormat="1" x14ac:dyDescent="0.35">
      <c r="A14" s="23" t="s">
        <v>250</v>
      </c>
      <c r="B14" s="24">
        <v>350</v>
      </c>
      <c r="C14" s="25" t="s">
        <v>251</v>
      </c>
    </row>
    <row r="15" spans="1:45" s="26" customFormat="1" x14ac:dyDescent="0.35"/>
    <row r="16" spans="1:45" s="22" customFormat="1" x14ac:dyDescent="0.35">
      <c r="A16" s="23" t="s">
        <v>252</v>
      </c>
      <c r="B16" s="24">
        <v>3500</v>
      </c>
      <c r="C16" s="25" t="s">
        <v>251</v>
      </c>
    </row>
    <row r="18" spans="1:15" x14ac:dyDescent="0.35">
      <c r="A18" s="1" t="s">
        <v>61</v>
      </c>
      <c r="B18" s="2" t="s">
        <v>52</v>
      </c>
      <c r="C18" s="3"/>
      <c r="D18" s="13"/>
    </row>
    <row r="19" spans="1:15" s="4" customFormat="1" x14ac:dyDescent="0.35"/>
    <row r="20" spans="1:15" x14ac:dyDescent="0.35">
      <c r="A20" s="1" t="s">
        <v>93</v>
      </c>
      <c r="B20" s="8">
        <v>2020</v>
      </c>
      <c r="C20" s="3" t="s">
        <v>39</v>
      </c>
      <c r="I20" s="33"/>
      <c r="J20" s="33"/>
      <c r="M20" s="33"/>
      <c r="N20" s="33"/>
    </row>
    <row r="21" spans="1:15" x14ac:dyDescent="0.35">
      <c r="A21" s="49" t="s">
        <v>1</v>
      </c>
      <c r="B21" s="2">
        <v>0.14899999999999999</v>
      </c>
      <c r="C21" s="3"/>
      <c r="D21" t="s">
        <v>45</v>
      </c>
      <c r="I21" s="34"/>
      <c r="J21" s="34"/>
      <c r="M21" s="34"/>
      <c r="N21" s="34"/>
      <c r="O21" s="22"/>
    </row>
    <row r="22" spans="1:15" x14ac:dyDescent="0.35">
      <c r="A22" s="49"/>
      <c r="B22" s="2">
        <v>0.307</v>
      </c>
      <c r="C22" s="3"/>
      <c r="D22" t="s">
        <v>46</v>
      </c>
      <c r="I22" s="34"/>
      <c r="J22" s="34"/>
      <c r="K22" s="22"/>
      <c r="M22" s="34"/>
      <c r="N22" s="34"/>
      <c r="O22" s="22"/>
    </row>
    <row r="23" spans="1:15" x14ac:dyDescent="0.35">
      <c r="A23" s="49"/>
      <c r="B23" s="24">
        <v>0.44700000000000001</v>
      </c>
      <c r="C23" s="3"/>
      <c r="D23" t="s">
        <v>47</v>
      </c>
      <c r="I23" s="34"/>
      <c r="J23" s="34"/>
      <c r="K23" s="22"/>
      <c r="M23" s="34"/>
      <c r="N23" s="34"/>
      <c r="O23" s="22"/>
    </row>
    <row r="24" spans="1:15" x14ac:dyDescent="0.35">
      <c r="A24" s="49"/>
      <c r="B24" s="2">
        <v>9.6000000000000002E-2</v>
      </c>
      <c r="C24" s="3"/>
      <c r="D24" t="s">
        <v>48</v>
      </c>
      <c r="I24" s="34"/>
      <c r="J24" s="34"/>
      <c r="K24" s="22"/>
      <c r="M24" s="34"/>
      <c r="N24" s="34"/>
      <c r="O24" s="22"/>
    </row>
    <row r="26" spans="1:15" x14ac:dyDescent="0.35">
      <c r="A26" s="49" t="s">
        <v>58</v>
      </c>
      <c r="B26" s="2">
        <v>7.4999999999999997E-2</v>
      </c>
      <c r="C26" s="3"/>
      <c r="D26" t="s">
        <v>45</v>
      </c>
    </row>
    <row r="27" spans="1:15" x14ac:dyDescent="0.35">
      <c r="A27" s="49"/>
      <c r="B27" s="2">
        <v>0.18</v>
      </c>
      <c r="C27" s="3"/>
      <c r="D27" t="s">
        <v>46</v>
      </c>
    </row>
    <row r="28" spans="1:15" x14ac:dyDescent="0.35">
      <c r="A28" s="49"/>
      <c r="B28" s="2">
        <v>0.25</v>
      </c>
      <c r="C28" s="3"/>
      <c r="D28" t="s">
        <v>47</v>
      </c>
    </row>
    <row r="29" spans="1:15" x14ac:dyDescent="0.35">
      <c r="A29" s="49"/>
      <c r="B29" s="2">
        <v>0.495</v>
      </c>
      <c r="C29" s="3"/>
      <c r="D29" t="s">
        <v>48</v>
      </c>
    </row>
    <row r="31" spans="1:15" x14ac:dyDescent="0.35">
      <c r="A31" s="49" t="s">
        <v>59</v>
      </c>
      <c r="B31" s="2">
        <v>0.02</v>
      </c>
      <c r="C31" s="3"/>
      <c r="D31" t="s">
        <v>45</v>
      </c>
    </row>
    <row r="32" spans="1:15" x14ac:dyDescent="0.35">
      <c r="A32" s="49"/>
      <c r="B32" s="2">
        <v>0.06</v>
      </c>
      <c r="C32" s="3"/>
      <c r="D32" t="s">
        <v>46</v>
      </c>
    </row>
    <row r="33" spans="1:4" x14ac:dyDescent="0.35">
      <c r="A33" s="49"/>
      <c r="B33" s="2">
        <v>7.0000000000000007E-2</v>
      </c>
      <c r="C33" s="3"/>
      <c r="D33" t="s">
        <v>47</v>
      </c>
    </row>
    <row r="34" spans="1:4" x14ac:dyDescent="0.35">
      <c r="A34" s="49"/>
      <c r="B34" s="2">
        <v>0.85</v>
      </c>
      <c r="C34" s="3"/>
      <c r="D34" t="s">
        <v>48</v>
      </c>
    </row>
    <row r="36" spans="1:4" x14ac:dyDescent="0.35">
      <c r="A36" s="49" t="s">
        <v>57</v>
      </c>
      <c r="B36" s="2">
        <v>0</v>
      </c>
      <c r="C36" s="3"/>
      <c r="D36" t="s">
        <v>45</v>
      </c>
    </row>
    <row r="37" spans="1:4" x14ac:dyDescent="0.35">
      <c r="A37" s="49"/>
      <c r="B37" s="2">
        <v>0</v>
      </c>
      <c r="C37" s="3"/>
      <c r="D37" t="s">
        <v>46</v>
      </c>
    </row>
    <row r="38" spans="1:4" x14ac:dyDescent="0.35">
      <c r="A38" s="49"/>
      <c r="B38" s="2">
        <v>0</v>
      </c>
      <c r="C38" s="3"/>
      <c r="D38" t="s">
        <v>47</v>
      </c>
    </row>
    <row r="39" spans="1:4" x14ac:dyDescent="0.35">
      <c r="A39" s="49"/>
      <c r="B39" s="2">
        <v>1</v>
      </c>
      <c r="C39" s="3"/>
      <c r="D39" t="s">
        <v>48</v>
      </c>
    </row>
    <row r="41" spans="1:4" x14ac:dyDescent="0.35">
      <c r="A41" s="49" t="s">
        <v>2</v>
      </c>
      <c r="B41" s="2" t="s">
        <v>175</v>
      </c>
      <c r="C41" s="3" t="s">
        <v>51</v>
      </c>
      <c r="D41" t="s">
        <v>45</v>
      </c>
    </row>
    <row r="42" spans="1:4" x14ac:dyDescent="0.35">
      <c r="A42" s="49"/>
      <c r="B42" s="2" t="s">
        <v>173</v>
      </c>
      <c r="C42" s="3"/>
      <c r="D42" t="s">
        <v>46</v>
      </c>
    </row>
    <row r="43" spans="1:4" x14ac:dyDescent="0.35">
      <c r="A43" s="49"/>
      <c r="B43" s="2" t="s">
        <v>174</v>
      </c>
      <c r="C43" s="3"/>
      <c r="D43" t="s">
        <v>47</v>
      </c>
    </row>
    <row r="44" spans="1:4" x14ac:dyDescent="0.35">
      <c r="A44" s="49"/>
      <c r="B44" s="2">
        <v>0</v>
      </c>
      <c r="C44" s="3"/>
      <c r="D44" t="s">
        <v>48</v>
      </c>
    </row>
    <row r="46" spans="1:4" x14ac:dyDescent="0.35">
      <c r="A46" s="1" t="s">
        <v>97</v>
      </c>
      <c r="B46" s="8">
        <v>2018</v>
      </c>
      <c r="C46" s="3" t="s">
        <v>39</v>
      </c>
    </row>
    <row r="47" spans="1:4" x14ac:dyDescent="0.35">
      <c r="A47" s="1" t="s">
        <v>3</v>
      </c>
      <c r="B47" s="2">
        <v>50</v>
      </c>
      <c r="C47" s="3" t="s">
        <v>37</v>
      </c>
    </row>
    <row r="49" spans="1:4" x14ac:dyDescent="0.35">
      <c r="A49" s="1" t="s">
        <v>4</v>
      </c>
      <c r="B49" s="2">
        <v>0.47695123799482309</v>
      </c>
      <c r="C49" s="3" t="s">
        <v>56</v>
      </c>
      <c r="D49" s="26"/>
    </row>
    <row r="51" spans="1:4" x14ac:dyDescent="0.35">
      <c r="A51" s="1" t="s">
        <v>5</v>
      </c>
      <c r="B51" s="2">
        <v>25</v>
      </c>
      <c r="C51" s="3" t="s">
        <v>39</v>
      </c>
    </row>
    <row r="52" spans="1:4" x14ac:dyDescent="0.35">
      <c r="D52" s="26"/>
    </row>
    <row r="53" spans="1:4" x14ac:dyDescent="0.35">
      <c r="A53" s="1" t="s">
        <v>6</v>
      </c>
      <c r="B53" s="2">
        <v>0.5</v>
      </c>
      <c r="C53" s="3"/>
      <c r="D53" s="26"/>
    </row>
    <row r="54" spans="1:4" x14ac:dyDescent="0.35">
      <c r="D54" s="26"/>
    </row>
    <row r="55" spans="1:4" x14ac:dyDescent="0.35">
      <c r="A55" s="1" t="s">
        <v>7</v>
      </c>
      <c r="B55" s="2">
        <v>0.01</v>
      </c>
      <c r="C55" s="3"/>
      <c r="D55" s="26"/>
    </row>
    <row r="56" spans="1:4" x14ac:dyDescent="0.35">
      <c r="D56" s="26"/>
    </row>
    <row r="57" spans="1:4" x14ac:dyDescent="0.35">
      <c r="A57" s="1" t="s">
        <v>8</v>
      </c>
      <c r="B57" s="2">
        <v>0.14588621319036407</v>
      </c>
      <c r="C57" s="3"/>
      <c r="D57" s="26"/>
    </row>
    <row r="58" spans="1:4" x14ac:dyDescent="0.35">
      <c r="D58" s="26"/>
    </row>
    <row r="59" spans="1:4" s="22" customFormat="1" x14ac:dyDescent="0.35">
      <c r="A59" s="23" t="s">
        <v>262</v>
      </c>
      <c r="B59" s="24">
        <v>8760</v>
      </c>
      <c r="C59" s="25" t="s">
        <v>40</v>
      </c>
      <c r="D59" s="26"/>
    </row>
    <row r="60" spans="1:4" s="26" customFormat="1" x14ac:dyDescent="0.35"/>
    <row r="61" spans="1:4" s="22" customFormat="1" x14ac:dyDescent="0.35">
      <c r="A61" s="23" t="s">
        <v>324</v>
      </c>
      <c r="B61" s="24">
        <v>3.0000000000000001E-3</v>
      </c>
      <c r="C61" s="25" t="s">
        <v>325</v>
      </c>
      <c r="D61" s="26"/>
    </row>
    <row r="62" spans="1:4" x14ac:dyDescent="0.35">
      <c r="D62" s="26"/>
    </row>
    <row r="63" spans="1:4" x14ac:dyDescent="0.35">
      <c r="A63" s="1" t="s">
        <v>96</v>
      </c>
      <c r="B63" s="8">
        <v>2018</v>
      </c>
      <c r="C63" s="3" t="s">
        <v>39</v>
      </c>
      <c r="D63" s="26"/>
    </row>
    <row r="64" spans="1:4" x14ac:dyDescent="0.35">
      <c r="A64" s="1" t="s">
        <v>9</v>
      </c>
      <c r="B64" s="2">
        <v>110</v>
      </c>
      <c r="C64" s="3" t="s">
        <v>37</v>
      </c>
      <c r="D64" s="26"/>
    </row>
    <row r="65" spans="1:6" x14ac:dyDescent="0.35">
      <c r="D65" s="26"/>
    </row>
    <row r="66" spans="1:6" x14ac:dyDescent="0.35">
      <c r="A66" s="1" t="s">
        <v>10</v>
      </c>
      <c r="B66" s="2">
        <v>218.57185381650939</v>
      </c>
      <c r="C66" s="3" t="s">
        <v>37</v>
      </c>
      <c r="D66" s="26"/>
    </row>
    <row r="67" spans="1:6" x14ac:dyDescent="0.35">
      <c r="D67" s="26"/>
    </row>
    <row r="68" spans="1:6" x14ac:dyDescent="0.35">
      <c r="A68" s="1" t="s">
        <v>11</v>
      </c>
      <c r="B68" s="2">
        <v>25</v>
      </c>
      <c r="C68" s="3" t="s">
        <v>39</v>
      </c>
      <c r="D68" s="26"/>
    </row>
    <row r="69" spans="1:6" x14ac:dyDescent="0.35">
      <c r="D69" s="26"/>
    </row>
    <row r="70" spans="1:6" x14ac:dyDescent="0.35">
      <c r="A70" s="1" t="s">
        <v>12</v>
      </c>
      <c r="B70" s="2" t="s">
        <v>50</v>
      </c>
      <c r="C70" s="3"/>
      <c r="D70" s="26"/>
    </row>
    <row r="71" spans="1:6" x14ac:dyDescent="0.35">
      <c r="D71" s="26"/>
    </row>
    <row r="72" spans="1:6" x14ac:dyDescent="0.35">
      <c r="A72" s="1" t="s">
        <v>13</v>
      </c>
      <c r="B72" s="2" t="s">
        <v>43</v>
      </c>
      <c r="C72" s="3"/>
      <c r="D72" s="26"/>
    </row>
    <row r="73" spans="1:6" x14ac:dyDescent="0.35">
      <c r="D73" s="26"/>
    </row>
    <row r="74" spans="1:6" x14ac:dyDescent="0.35">
      <c r="A74" s="1" t="s">
        <v>14</v>
      </c>
      <c r="B74" s="2">
        <v>0.23801223303455543</v>
      </c>
      <c r="C74" s="3"/>
      <c r="D74" s="26"/>
    </row>
    <row r="75" spans="1:6" x14ac:dyDescent="0.35">
      <c r="D75" s="26"/>
    </row>
    <row r="76" spans="1:6" x14ac:dyDescent="0.35">
      <c r="A76" s="1" t="s">
        <v>101</v>
      </c>
      <c r="B76" s="8">
        <v>2018</v>
      </c>
      <c r="C76" s="3" t="s">
        <v>39</v>
      </c>
      <c r="D76" s="26"/>
    </row>
    <row r="77" spans="1:6" x14ac:dyDescent="0.35">
      <c r="A77" s="1" t="s">
        <v>15</v>
      </c>
      <c r="B77" s="2">
        <v>0.30421900000000002</v>
      </c>
      <c r="C77" s="3" t="s">
        <v>37</v>
      </c>
      <c r="D77" s="26"/>
      <c r="E77" s="22"/>
      <c r="F77" s="22"/>
    </row>
    <row r="78" spans="1:6" x14ac:dyDescent="0.35">
      <c r="D78" s="26"/>
      <c r="E78" s="22"/>
      <c r="F78" s="22"/>
    </row>
    <row r="79" spans="1:6" x14ac:dyDescent="0.35">
      <c r="A79" s="1" t="s">
        <v>16</v>
      </c>
      <c r="B79" s="2">
        <v>0.47903898417860213</v>
      </c>
      <c r="C79" s="3" t="s">
        <v>56</v>
      </c>
      <c r="D79" s="26"/>
    </row>
    <row r="80" spans="1:6" s="26" customFormat="1" x14ac:dyDescent="0.35"/>
    <row r="81" spans="1:4" s="22" customFormat="1" x14ac:dyDescent="0.35">
      <c r="A81" s="23" t="s">
        <v>265</v>
      </c>
      <c r="B81" s="24">
        <v>12.701231591813251</v>
      </c>
      <c r="C81" s="25" t="s">
        <v>106</v>
      </c>
      <c r="D81" s="26"/>
    </row>
    <row r="82" spans="1:4" x14ac:dyDescent="0.35">
      <c r="D82" s="26"/>
    </row>
    <row r="83" spans="1:4" x14ac:dyDescent="0.35">
      <c r="A83" s="1" t="s">
        <v>17</v>
      </c>
      <c r="B83" s="2">
        <v>25</v>
      </c>
      <c r="C83" s="3" t="s">
        <v>39</v>
      </c>
      <c r="D83" s="26"/>
    </row>
    <row r="84" spans="1:4" x14ac:dyDescent="0.35">
      <c r="D84" s="26"/>
    </row>
    <row r="85" spans="1:4" x14ac:dyDescent="0.35">
      <c r="A85" s="1" t="s">
        <v>18</v>
      </c>
      <c r="B85" s="2" t="s">
        <v>50</v>
      </c>
      <c r="C85" s="3"/>
      <c r="D85" s="26"/>
    </row>
    <row r="86" spans="1:4" x14ac:dyDescent="0.35">
      <c r="D86" s="26"/>
    </row>
    <row r="87" spans="1:4" x14ac:dyDescent="0.35">
      <c r="A87" s="1" t="s">
        <v>19</v>
      </c>
      <c r="B87" s="2" t="s">
        <v>43</v>
      </c>
      <c r="C87" s="3"/>
      <c r="D87" s="26"/>
    </row>
    <row r="88" spans="1:4" x14ac:dyDescent="0.35">
      <c r="D88" s="26"/>
    </row>
    <row r="89" spans="1:4" x14ac:dyDescent="0.35">
      <c r="A89" s="1" t="s">
        <v>20</v>
      </c>
      <c r="B89" s="24">
        <v>0.14588621319036407</v>
      </c>
      <c r="C89" s="3"/>
    </row>
    <row r="91" spans="1:4" x14ac:dyDescent="0.35">
      <c r="A91" s="1" t="s">
        <v>100</v>
      </c>
      <c r="B91" s="8">
        <v>2018</v>
      </c>
      <c r="C91" s="3" t="s">
        <v>39</v>
      </c>
    </row>
    <row r="92" spans="1:4" x14ac:dyDescent="0.35">
      <c r="A92" s="1" t="s">
        <v>21</v>
      </c>
      <c r="B92" s="2">
        <v>4.3</v>
      </c>
      <c r="C92" s="3" t="s">
        <v>37</v>
      </c>
    </row>
    <row r="94" spans="1:4" s="22" customFormat="1" x14ac:dyDescent="0.35">
      <c r="A94" s="23" t="s">
        <v>264</v>
      </c>
      <c r="B94" s="24">
        <v>3.8</v>
      </c>
      <c r="C94" s="25" t="s">
        <v>263</v>
      </c>
      <c r="D94" s="26"/>
    </row>
    <row r="96" spans="1:4" x14ac:dyDescent="0.35">
      <c r="A96" s="1" t="s">
        <v>22</v>
      </c>
      <c r="B96" s="2">
        <v>25</v>
      </c>
      <c r="C96" s="3" t="s">
        <v>39</v>
      </c>
    </row>
    <row r="98" spans="1:4" x14ac:dyDescent="0.35">
      <c r="A98" s="1" t="s">
        <v>23</v>
      </c>
      <c r="B98" s="2" t="s">
        <v>50</v>
      </c>
      <c r="C98" s="3"/>
    </row>
    <row r="100" spans="1:4" x14ac:dyDescent="0.35">
      <c r="A100" s="1" t="s">
        <v>24</v>
      </c>
      <c r="B100" s="2" t="s">
        <v>43</v>
      </c>
      <c r="C100" s="3"/>
    </row>
    <row r="102" spans="1:4" x14ac:dyDescent="0.35">
      <c r="A102" s="1" t="s">
        <v>25</v>
      </c>
      <c r="B102" s="2">
        <v>0.35120076723415256</v>
      </c>
      <c r="C102" s="3"/>
    </row>
    <row r="104" spans="1:4" x14ac:dyDescent="0.35">
      <c r="A104" s="1" t="s">
        <v>99</v>
      </c>
      <c r="B104" s="8">
        <v>2018</v>
      </c>
      <c r="C104" s="3" t="s">
        <v>39</v>
      </c>
    </row>
    <row r="105" spans="1:4" x14ac:dyDescent="0.35">
      <c r="A105" s="1" t="s">
        <v>26</v>
      </c>
      <c r="B105" s="2">
        <v>2</v>
      </c>
      <c r="C105" s="3" t="s">
        <v>37</v>
      </c>
    </row>
    <row r="107" spans="1:4" x14ac:dyDescent="0.35">
      <c r="A107" s="1" t="s">
        <v>27</v>
      </c>
      <c r="B107" s="2">
        <v>14884.976000000001</v>
      </c>
      <c r="C107" s="3" t="s">
        <v>38</v>
      </c>
      <c r="D107" s="26"/>
    </row>
    <row r="108" spans="1:4" x14ac:dyDescent="0.35">
      <c r="D108" s="26"/>
    </row>
    <row r="109" spans="1:4" x14ac:dyDescent="0.35">
      <c r="A109" s="1" t="s">
        <v>28</v>
      </c>
      <c r="B109" s="2">
        <v>50</v>
      </c>
      <c r="C109" s="3" t="s">
        <v>39</v>
      </c>
      <c r="D109" s="26"/>
    </row>
    <row r="110" spans="1:4" x14ac:dyDescent="0.35">
      <c r="D110" s="26"/>
    </row>
    <row r="111" spans="1:4" x14ac:dyDescent="0.35">
      <c r="A111" s="1" t="s">
        <v>29</v>
      </c>
      <c r="B111" s="2" t="s">
        <v>50</v>
      </c>
      <c r="C111" s="3"/>
      <c r="D111" s="26"/>
    </row>
    <row r="112" spans="1:4" x14ac:dyDescent="0.35">
      <c r="D112" s="26"/>
    </row>
    <row r="113" spans="1:4" x14ac:dyDescent="0.35">
      <c r="A113" s="1" t="s">
        <v>30</v>
      </c>
      <c r="B113" s="2" t="s">
        <v>43</v>
      </c>
      <c r="C113" s="3"/>
      <c r="D113" s="26"/>
    </row>
    <row r="114" spans="1:4" x14ac:dyDescent="0.35">
      <c r="D114" s="26"/>
    </row>
    <row r="115" spans="1:4" x14ac:dyDescent="0.35">
      <c r="A115" s="1" t="s">
        <v>31</v>
      </c>
      <c r="B115" s="2">
        <v>0.31</v>
      </c>
      <c r="C115" s="3"/>
      <c r="D115" s="26"/>
    </row>
    <row r="116" spans="1:4" x14ac:dyDescent="0.35">
      <c r="D116" s="26"/>
    </row>
    <row r="117" spans="1:4" x14ac:dyDescent="0.35">
      <c r="A117" s="1" t="s">
        <v>98</v>
      </c>
      <c r="B117" s="8">
        <v>2018</v>
      </c>
      <c r="C117" s="3" t="s">
        <v>39</v>
      </c>
      <c r="D117" s="26"/>
    </row>
    <row r="118" spans="1:4" x14ac:dyDescent="0.35">
      <c r="A118" s="1" t="s">
        <v>32</v>
      </c>
      <c r="B118" s="24">
        <v>7</v>
      </c>
      <c r="C118" s="3" t="s">
        <v>37</v>
      </c>
      <c r="D118" s="26"/>
    </row>
    <row r="119" spans="1:4" x14ac:dyDescent="0.35">
      <c r="D119" s="26"/>
    </row>
    <row r="120" spans="1:4" x14ac:dyDescent="0.35">
      <c r="A120" s="1" t="s">
        <v>33</v>
      </c>
      <c r="B120" s="2">
        <v>40</v>
      </c>
      <c r="C120" s="3" t="s">
        <v>39</v>
      </c>
      <c r="D120" s="26"/>
    </row>
    <row r="121" spans="1:4" x14ac:dyDescent="0.35">
      <c r="D121" s="26"/>
    </row>
    <row r="122" spans="1:4" x14ac:dyDescent="0.35">
      <c r="A122" s="1" t="s">
        <v>34</v>
      </c>
      <c r="B122" s="2" t="s">
        <v>50</v>
      </c>
      <c r="C122" s="3"/>
      <c r="D122" s="26"/>
    </row>
    <row r="123" spans="1:4" x14ac:dyDescent="0.35">
      <c r="D123" s="26"/>
    </row>
    <row r="124" spans="1:4" x14ac:dyDescent="0.35">
      <c r="A124" s="1" t="s">
        <v>35</v>
      </c>
      <c r="B124" s="2" t="s">
        <v>43</v>
      </c>
      <c r="C124" s="3"/>
      <c r="D124" s="26"/>
    </row>
    <row r="125" spans="1:4" x14ac:dyDescent="0.35">
      <c r="D125" s="26"/>
    </row>
    <row r="126" spans="1:4" x14ac:dyDescent="0.35">
      <c r="A126" s="1" t="s">
        <v>36</v>
      </c>
      <c r="B126" s="2">
        <v>0.14677103718199608</v>
      </c>
      <c r="C126" s="3"/>
    </row>
    <row r="127" spans="1:4" ht="14.5" customHeight="1" x14ac:dyDescent="0.35"/>
    <row r="128" spans="1:4" x14ac:dyDescent="0.35">
      <c r="A128" s="23" t="s">
        <v>249</v>
      </c>
      <c r="B128" s="24">
        <v>0</v>
      </c>
      <c r="C128" s="25" t="s">
        <v>37</v>
      </c>
    </row>
    <row r="130" spans="1:3" x14ac:dyDescent="0.35">
      <c r="A130" s="23" t="s">
        <v>266</v>
      </c>
      <c r="B130" s="24">
        <v>55</v>
      </c>
      <c r="C130" s="25" t="s">
        <v>267</v>
      </c>
    </row>
    <row r="131" spans="1:3" x14ac:dyDescent="0.35">
      <c r="A131" s="22"/>
      <c r="B131" s="22"/>
      <c r="C131" s="22"/>
    </row>
    <row r="132" spans="1:3" x14ac:dyDescent="0.35">
      <c r="A132" s="23" t="s">
        <v>268</v>
      </c>
      <c r="B132" s="24">
        <v>33.299999999999997</v>
      </c>
      <c r="C132" s="25" t="s">
        <v>269</v>
      </c>
    </row>
    <row r="133" spans="1:3" x14ac:dyDescent="0.35">
      <c r="A133" s="22"/>
      <c r="B133" s="22"/>
      <c r="C133" s="22"/>
    </row>
    <row r="134" spans="1:3" x14ac:dyDescent="0.35">
      <c r="A134" s="23" t="s">
        <v>270</v>
      </c>
      <c r="B134" s="24">
        <v>1E-3</v>
      </c>
      <c r="C134" s="25"/>
    </row>
    <row r="135" spans="1:3" x14ac:dyDescent="0.35">
      <c r="A135" s="22"/>
      <c r="B135" s="22"/>
      <c r="C135" s="22"/>
    </row>
    <row r="136" spans="1:3" x14ac:dyDescent="0.35">
      <c r="A136" s="23" t="s">
        <v>271</v>
      </c>
      <c r="B136" s="24">
        <v>15</v>
      </c>
      <c r="C136" s="25" t="s">
        <v>272</v>
      </c>
    </row>
    <row r="137" spans="1:3" x14ac:dyDescent="0.35">
      <c r="A137" s="22"/>
      <c r="B137" s="22"/>
      <c r="C137" s="22"/>
    </row>
    <row r="138" spans="1:3" x14ac:dyDescent="0.35">
      <c r="A138" s="23" t="s">
        <v>273</v>
      </c>
      <c r="B138" s="14">
        <v>1000000000</v>
      </c>
      <c r="C138" s="25"/>
    </row>
  </sheetData>
  <mergeCells count="5">
    <mergeCell ref="A41:A44"/>
    <mergeCell ref="A36:A39"/>
    <mergeCell ref="A31:A34"/>
    <mergeCell ref="A26:A29"/>
    <mergeCell ref="A21:A2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05C9-2185-4627-BA21-11D47452DF03}">
  <dimension ref="A1:AS75"/>
  <sheetViews>
    <sheetView topLeftCell="A26" workbookViewId="0">
      <selection activeCell="B54" sqref="B54"/>
    </sheetView>
  </sheetViews>
  <sheetFormatPr baseColWidth="10" defaultRowHeight="14.5" x14ac:dyDescent="0.35"/>
  <cols>
    <col min="1" max="1" width="39.453125" customWidth="1"/>
  </cols>
  <sheetData>
    <row r="1" spans="1:44" x14ac:dyDescent="0.35">
      <c r="A1" s="4"/>
    </row>
    <row r="2" spans="1:44" x14ac:dyDescent="0.35">
      <c r="A2" s="1" t="s">
        <v>76</v>
      </c>
      <c r="B2" s="8">
        <v>2018</v>
      </c>
      <c r="C2" s="8">
        <v>2019</v>
      </c>
      <c r="D2" s="8">
        <v>2020</v>
      </c>
      <c r="E2" s="8">
        <v>2021</v>
      </c>
      <c r="F2" s="8">
        <v>2022</v>
      </c>
      <c r="G2" s="8">
        <v>2023</v>
      </c>
      <c r="H2" s="8">
        <v>2024</v>
      </c>
      <c r="I2" s="8">
        <v>2025</v>
      </c>
      <c r="J2" s="8">
        <v>2026</v>
      </c>
      <c r="K2" s="8">
        <v>2027</v>
      </c>
      <c r="L2" s="8">
        <v>2028</v>
      </c>
      <c r="M2" s="8">
        <v>2029</v>
      </c>
      <c r="N2" s="8">
        <v>2030</v>
      </c>
      <c r="O2" s="8">
        <v>2031</v>
      </c>
      <c r="P2" s="8">
        <v>2032</v>
      </c>
      <c r="Q2" s="8">
        <v>2033</v>
      </c>
      <c r="R2" s="8">
        <v>2034</v>
      </c>
      <c r="S2" s="8">
        <v>2035</v>
      </c>
      <c r="T2" s="8">
        <v>2036</v>
      </c>
      <c r="U2" s="8">
        <v>2037</v>
      </c>
      <c r="V2" s="8">
        <v>2038</v>
      </c>
      <c r="W2" s="8">
        <v>2039</v>
      </c>
      <c r="X2" s="8">
        <v>2040</v>
      </c>
      <c r="Y2" s="8">
        <v>2041</v>
      </c>
      <c r="Z2" s="8">
        <v>2042</v>
      </c>
      <c r="AA2" s="8">
        <v>2043</v>
      </c>
      <c r="AB2" s="8">
        <v>2044</v>
      </c>
      <c r="AC2" s="8">
        <v>2045</v>
      </c>
      <c r="AD2" s="8">
        <v>2046</v>
      </c>
      <c r="AE2" s="8">
        <v>2047</v>
      </c>
      <c r="AF2" s="8">
        <v>2048</v>
      </c>
      <c r="AG2" s="8">
        <v>2049</v>
      </c>
      <c r="AH2" s="8">
        <v>2050</v>
      </c>
      <c r="AI2" s="8">
        <v>2051</v>
      </c>
      <c r="AJ2" s="8">
        <v>2052</v>
      </c>
      <c r="AK2" s="8">
        <v>2053</v>
      </c>
      <c r="AL2" s="8">
        <v>2054</v>
      </c>
      <c r="AM2" s="8">
        <v>2055</v>
      </c>
      <c r="AN2" s="8">
        <v>2056</v>
      </c>
      <c r="AO2" s="8">
        <v>2057</v>
      </c>
      <c r="AP2" s="8">
        <v>2058</v>
      </c>
      <c r="AQ2" s="8">
        <v>2059</v>
      </c>
      <c r="AR2" s="8">
        <v>2060</v>
      </c>
    </row>
    <row r="3" spans="1:44" x14ac:dyDescent="0.35">
      <c r="A3" s="8" t="s">
        <v>73</v>
      </c>
      <c r="B3" s="6">
        <v>64</v>
      </c>
      <c r="C3" s="6">
        <v>60</v>
      </c>
      <c r="D3" s="6">
        <v>60</v>
      </c>
      <c r="E3" s="6">
        <v>60</v>
      </c>
      <c r="F3" s="6">
        <v>68</v>
      </c>
      <c r="G3" s="7">
        <v>66</v>
      </c>
      <c r="H3" s="7">
        <v>56</v>
      </c>
      <c r="I3" s="7">
        <v>70</v>
      </c>
      <c r="J3" s="7">
        <v>60</v>
      </c>
      <c r="K3" s="7">
        <v>60</v>
      </c>
      <c r="L3" s="7">
        <v>58</v>
      </c>
      <c r="M3" s="7">
        <v>56</v>
      </c>
      <c r="N3" s="7">
        <v>56</v>
      </c>
      <c r="O3" s="7">
        <v>60</v>
      </c>
      <c r="P3" s="7">
        <v>56</v>
      </c>
      <c r="Q3" s="7">
        <v>60</v>
      </c>
      <c r="R3" s="7">
        <v>60</v>
      </c>
      <c r="S3" s="7">
        <v>64</v>
      </c>
      <c r="T3" s="7">
        <v>68</v>
      </c>
      <c r="U3" s="7">
        <v>56</v>
      </c>
      <c r="V3" s="7">
        <v>68</v>
      </c>
      <c r="W3" s="7">
        <v>56</v>
      </c>
      <c r="X3" s="7">
        <v>60</v>
      </c>
      <c r="Y3" s="7">
        <v>66</v>
      </c>
      <c r="Z3" s="7">
        <v>54</v>
      </c>
      <c r="AA3" s="7">
        <v>58</v>
      </c>
      <c r="AB3" s="7">
        <v>66</v>
      </c>
      <c r="AC3" s="7">
        <v>66</v>
      </c>
      <c r="AD3" s="7">
        <v>70</v>
      </c>
      <c r="AE3" s="7">
        <v>66</v>
      </c>
      <c r="AF3" s="7">
        <v>72</v>
      </c>
      <c r="AG3" s="7">
        <v>66</v>
      </c>
      <c r="AH3" s="7">
        <v>54</v>
      </c>
      <c r="AI3" s="7">
        <v>70</v>
      </c>
      <c r="AJ3" s="7">
        <v>66</v>
      </c>
      <c r="AK3" s="7">
        <v>64</v>
      </c>
      <c r="AL3" s="7">
        <v>70</v>
      </c>
      <c r="AM3" s="7">
        <v>66</v>
      </c>
      <c r="AN3" s="7">
        <v>68</v>
      </c>
      <c r="AO3" s="7">
        <v>68</v>
      </c>
      <c r="AP3" s="7">
        <v>66</v>
      </c>
      <c r="AQ3" s="7">
        <v>70</v>
      </c>
      <c r="AR3" s="7">
        <v>68</v>
      </c>
    </row>
    <row r="4" spans="1:44" x14ac:dyDescent="0.35">
      <c r="A4" s="8" t="s">
        <v>74</v>
      </c>
      <c r="B4" s="6">
        <v>36</v>
      </c>
      <c r="C4" s="6">
        <v>46</v>
      </c>
      <c r="D4" s="6">
        <v>46</v>
      </c>
      <c r="E4" s="6">
        <v>34</v>
      </c>
      <c r="F4" s="6">
        <v>44</v>
      </c>
      <c r="G4" s="7">
        <v>46</v>
      </c>
      <c r="H4" s="7">
        <v>46</v>
      </c>
      <c r="I4" s="7">
        <v>46</v>
      </c>
      <c r="J4" s="7">
        <v>46</v>
      </c>
      <c r="K4" s="7">
        <v>44</v>
      </c>
      <c r="L4" s="7">
        <v>46</v>
      </c>
      <c r="M4" s="7">
        <v>44</v>
      </c>
      <c r="N4" s="7">
        <v>46</v>
      </c>
      <c r="O4" s="7">
        <v>46</v>
      </c>
      <c r="P4" s="7">
        <v>46</v>
      </c>
      <c r="Q4" s="7">
        <v>46</v>
      </c>
      <c r="R4" s="7">
        <v>44</v>
      </c>
      <c r="S4" s="7">
        <v>42</v>
      </c>
      <c r="T4" s="7">
        <v>46</v>
      </c>
      <c r="U4" s="7">
        <v>46</v>
      </c>
      <c r="V4" s="7">
        <v>42</v>
      </c>
      <c r="W4" s="7">
        <v>42</v>
      </c>
      <c r="X4" s="7">
        <v>46</v>
      </c>
      <c r="Y4" s="7">
        <v>42</v>
      </c>
      <c r="Z4" s="7">
        <v>36</v>
      </c>
      <c r="AA4" s="7">
        <v>48</v>
      </c>
      <c r="AB4" s="7">
        <v>42</v>
      </c>
      <c r="AC4" s="7">
        <v>46</v>
      </c>
      <c r="AD4" s="7">
        <v>46</v>
      </c>
      <c r="AE4" s="7">
        <v>46</v>
      </c>
      <c r="AF4" s="7">
        <v>46</v>
      </c>
      <c r="AG4" s="7">
        <v>42</v>
      </c>
      <c r="AH4" s="7">
        <v>46</v>
      </c>
      <c r="AI4" s="7">
        <v>44</v>
      </c>
      <c r="AJ4" s="7">
        <v>46</v>
      </c>
      <c r="AK4" s="7">
        <v>44</v>
      </c>
      <c r="AL4" s="7">
        <v>48</v>
      </c>
      <c r="AM4" s="7">
        <v>40</v>
      </c>
      <c r="AN4" s="7">
        <v>46</v>
      </c>
      <c r="AO4" s="7">
        <v>44</v>
      </c>
      <c r="AP4" s="7">
        <v>40</v>
      </c>
      <c r="AQ4" s="7">
        <v>46</v>
      </c>
      <c r="AR4" s="7">
        <v>48</v>
      </c>
    </row>
    <row r="5" spans="1:44" x14ac:dyDescent="0.35">
      <c r="A5" s="8" t="s">
        <v>75</v>
      </c>
      <c r="B5" s="6">
        <v>36</v>
      </c>
      <c r="C5" s="6">
        <v>32</v>
      </c>
      <c r="D5" s="6">
        <v>34</v>
      </c>
      <c r="E5" s="6">
        <v>34</v>
      </c>
      <c r="F5" s="6">
        <v>29</v>
      </c>
      <c r="G5" s="7">
        <v>33</v>
      </c>
      <c r="H5" s="7">
        <v>27</v>
      </c>
      <c r="I5" s="7">
        <v>34</v>
      </c>
      <c r="J5" s="7">
        <v>32</v>
      </c>
      <c r="K5" s="7">
        <v>32</v>
      </c>
      <c r="L5" s="7">
        <v>34</v>
      </c>
      <c r="M5" s="7">
        <v>32</v>
      </c>
      <c r="N5" s="7">
        <v>32</v>
      </c>
      <c r="O5" s="7">
        <v>35</v>
      </c>
      <c r="P5" s="7">
        <v>36</v>
      </c>
      <c r="Q5" s="7">
        <v>36</v>
      </c>
      <c r="R5" s="7">
        <v>32</v>
      </c>
      <c r="S5" s="7">
        <v>34</v>
      </c>
      <c r="T5" s="7">
        <v>33</v>
      </c>
      <c r="U5" s="7">
        <v>36</v>
      </c>
      <c r="V5" s="7">
        <v>32</v>
      </c>
      <c r="W5" s="7">
        <v>34</v>
      </c>
      <c r="X5" s="7">
        <v>36</v>
      </c>
      <c r="Y5" s="7">
        <v>32</v>
      </c>
      <c r="Z5" s="7">
        <v>34</v>
      </c>
      <c r="AA5" s="7">
        <v>32</v>
      </c>
      <c r="AB5" s="7">
        <v>32</v>
      </c>
      <c r="AC5" s="7">
        <v>36</v>
      </c>
      <c r="AD5" s="7">
        <v>32</v>
      </c>
      <c r="AE5" s="7">
        <v>33</v>
      </c>
      <c r="AF5" s="7">
        <v>34</v>
      </c>
      <c r="AG5" s="7">
        <v>36</v>
      </c>
      <c r="AH5" s="7">
        <v>34</v>
      </c>
      <c r="AI5" s="7">
        <v>36</v>
      </c>
      <c r="AJ5" s="7">
        <v>32</v>
      </c>
      <c r="AK5" s="7">
        <v>36</v>
      </c>
      <c r="AL5" s="7">
        <v>34</v>
      </c>
      <c r="AM5" s="7">
        <v>34</v>
      </c>
      <c r="AN5" s="7">
        <v>28</v>
      </c>
      <c r="AO5" s="7">
        <v>31</v>
      </c>
      <c r="AP5" s="7">
        <v>36</v>
      </c>
      <c r="AQ5" s="7">
        <v>36</v>
      </c>
      <c r="AR5" s="7">
        <v>34</v>
      </c>
    </row>
    <row r="6" spans="1:44" x14ac:dyDescent="0.35">
      <c r="A6" s="8" t="s">
        <v>64</v>
      </c>
      <c r="B6" s="6">
        <v>35</v>
      </c>
      <c r="C6" s="6">
        <v>36</v>
      </c>
      <c r="D6" s="6">
        <v>30</v>
      </c>
      <c r="E6" s="6">
        <v>38</v>
      </c>
      <c r="F6" s="6">
        <v>34</v>
      </c>
      <c r="G6" s="7">
        <v>31</v>
      </c>
      <c r="H6" s="7">
        <v>36</v>
      </c>
      <c r="I6" s="7">
        <v>30</v>
      </c>
      <c r="J6" s="7">
        <v>36</v>
      </c>
      <c r="K6" s="7">
        <v>34</v>
      </c>
      <c r="L6" s="7">
        <v>34</v>
      </c>
      <c r="M6" s="7">
        <v>32</v>
      </c>
      <c r="N6" s="7">
        <v>32</v>
      </c>
      <c r="O6" s="7">
        <v>33</v>
      </c>
      <c r="P6" s="7">
        <v>34</v>
      </c>
      <c r="Q6" s="7">
        <v>36</v>
      </c>
      <c r="R6" s="7">
        <v>33</v>
      </c>
      <c r="S6" s="7">
        <v>34</v>
      </c>
      <c r="T6" s="7">
        <v>32</v>
      </c>
      <c r="U6" s="7">
        <v>35</v>
      </c>
      <c r="V6" s="7">
        <v>36</v>
      </c>
      <c r="W6" s="7">
        <v>35</v>
      </c>
      <c r="X6" s="7">
        <v>34</v>
      </c>
      <c r="Y6" s="7">
        <v>34</v>
      </c>
      <c r="Z6" s="7">
        <v>32</v>
      </c>
      <c r="AA6" s="7">
        <v>33</v>
      </c>
      <c r="AB6" s="7">
        <v>34</v>
      </c>
      <c r="AC6" s="7">
        <v>30</v>
      </c>
      <c r="AD6" s="7">
        <v>36</v>
      </c>
      <c r="AE6" s="7">
        <v>36</v>
      </c>
      <c r="AF6" s="7">
        <v>36</v>
      </c>
      <c r="AG6" s="7">
        <v>36</v>
      </c>
      <c r="AH6" s="7">
        <v>36</v>
      </c>
      <c r="AI6" s="7">
        <v>32</v>
      </c>
      <c r="AJ6" s="7">
        <v>34</v>
      </c>
      <c r="AK6" s="7">
        <v>36</v>
      </c>
      <c r="AL6" s="7">
        <v>36</v>
      </c>
      <c r="AM6" s="7">
        <v>36</v>
      </c>
      <c r="AN6" s="7">
        <v>34</v>
      </c>
      <c r="AO6" s="7">
        <v>34</v>
      </c>
      <c r="AP6" s="7">
        <v>36</v>
      </c>
      <c r="AQ6" s="7">
        <v>35</v>
      </c>
      <c r="AR6" s="7">
        <v>31</v>
      </c>
    </row>
    <row r="7" spans="1:44" x14ac:dyDescent="0.35">
      <c r="A7" s="8" t="s">
        <v>65</v>
      </c>
      <c r="B7" s="6">
        <v>40</v>
      </c>
      <c r="C7" s="6">
        <v>36</v>
      </c>
      <c r="D7" s="6">
        <v>38</v>
      </c>
      <c r="E7" s="6">
        <v>38</v>
      </c>
      <c r="F7" s="6">
        <v>38</v>
      </c>
      <c r="G7" s="7">
        <v>34</v>
      </c>
      <c r="H7" s="7">
        <v>38</v>
      </c>
      <c r="I7" s="7">
        <v>35</v>
      </c>
      <c r="J7" s="7">
        <v>38</v>
      </c>
      <c r="K7" s="7">
        <v>38</v>
      </c>
      <c r="L7" s="7">
        <v>38</v>
      </c>
      <c r="M7" s="7">
        <v>37</v>
      </c>
      <c r="N7" s="7">
        <v>35</v>
      </c>
      <c r="O7" s="7">
        <v>37</v>
      </c>
      <c r="P7" s="7">
        <v>38</v>
      </c>
      <c r="Q7" s="7">
        <v>38</v>
      </c>
      <c r="R7" s="7">
        <v>38</v>
      </c>
      <c r="S7" s="7">
        <v>38</v>
      </c>
      <c r="T7" s="7">
        <v>38</v>
      </c>
      <c r="U7" s="7">
        <v>38</v>
      </c>
      <c r="V7" s="7">
        <v>35</v>
      </c>
      <c r="W7" s="7">
        <v>38</v>
      </c>
      <c r="X7" s="7">
        <v>38</v>
      </c>
      <c r="Y7" s="7">
        <v>35</v>
      </c>
      <c r="Z7" s="7">
        <v>37</v>
      </c>
      <c r="AA7" s="7">
        <v>38</v>
      </c>
      <c r="AB7" s="7">
        <v>36</v>
      </c>
      <c r="AC7" s="7">
        <v>40</v>
      </c>
      <c r="AD7" s="7">
        <v>35</v>
      </c>
      <c r="AE7" s="7">
        <v>38</v>
      </c>
      <c r="AF7" s="7">
        <v>36</v>
      </c>
      <c r="AG7" s="7">
        <v>38</v>
      </c>
      <c r="AH7" s="7">
        <v>37</v>
      </c>
      <c r="AI7" s="7">
        <v>38</v>
      </c>
      <c r="AJ7" s="7">
        <v>38</v>
      </c>
      <c r="AK7" s="7">
        <v>40</v>
      </c>
      <c r="AL7" s="7">
        <v>38</v>
      </c>
      <c r="AM7" s="7">
        <v>38</v>
      </c>
      <c r="AN7" s="7">
        <v>35</v>
      </c>
      <c r="AO7" s="7">
        <v>38</v>
      </c>
      <c r="AP7" s="7">
        <v>38</v>
      </c>
      <c r="AQ7" s="7">
        <v>38</v>
      </c>
      <c r="AR7" s="7">
        <v>38</v>
      </c>
    </row>
    <row r="8" spans="1:44" x14ac:dyDescent="0.35">
      <c r="A8" s="8" t="s">
        <v>66</v>
      </c>
      <c r="B8" s="6">
        <v>44</v>
      </c>
      <c r="C8" s="6">
        <v>40</v>
      </c>
      <c r="D8" s="6">
        <v>46</v>
      </c>
      <c r="E8" s="6">
        <v>34</v>
      </c>
      <c r="F8" s="6">
        <v>44</v>
      </c>
      <c r="G8" s="7">
        <v>37</v>
      </c>
      <c r="H8" s="7">
        <v>48</v>
      </c>
      <c r="I8" s="7">
        <v>48</v>
      </c>
      <c r="J8" s="7">
        <v>48</v>
      </c>
      <c r="K8" s="7">
        <v>46</v>
      </c>
      <c r="L8" s="7">
        <v>48</v>
      </c>
      <c r="M8" s="7">
        <v>46</v>
      </c>
      <c r="N8" s="7">
        <v>38</v>
      </c>
      <c r="O8" s="7">
        <v>46</v>
      </c>
      <c r="P8" s="7">
        <v>44</v>
      </c>
      <c r="Q8" s="7">
        <v>48</v>
      </c>
      <c r="R8" s="7">
        <v>48</v>
      </c>
      <c r="S8" s="7">
        <v>46</v>
      </c>
      <c r="T8" s="7">
        <v>44</v>
      </c>
      <c r="U8" s="7">
        <v>44</v>
      </c>
      <c r="V8" s="7">
        <v>48</v>
      </c>
      <c r="W8" s="7">
        <v>46</v>
      </c>
      <c r="X8" s="7">
        <v>46</v>
      </c>
      <c r="Y8" s="7">
        <v>48</v>
      </c>
      <c r="Z8" s="7">
        <v>44</v>
      </c>
      <c r="AA8" s="7">
        <v>48</v>
      </c>
      <c r="AB8" s="7">
        <v>46</v>
      </c>
      <c r="AC8" s="7">
        <v>46</v>
      </c>
      <c r="AD8" s="7">
        <v>44</v>
      </c>
      <c r="AE8" s="7">
        <v>46</v>
      </c>
      <c r="AF8" s="7">
        <v>48</v>
      </c>
      <c r="AG8" s="7">
        <v>46</v>
      </c>
      <c r="AH8" s="7">
        <v>48</v>
      </c>
      <c r="AI8" s="7">
        <v>48</v>
      </c>
      <c r="AJ8" s="7">
        <v>46</v>
      </c>
      <c r="AK8" s="7">
        <v>46</v>
      </c>
      <c r="AL8" s="7">
        <v>48</v>
      </c>
      <c r="AM8" s="7">
        <v>48</v>
      </c>
      <c r="AN8" s="7">
        <v>46</v>
      </c>
      <c r="AO8" s="7">
        <v>46</v>
      </c>
      <c r="AP8" s="7">
        <v>46</v>
      </c>
      <c r="AQ8" s="7">
        <v>46</v>
      </c>
      <c r="AR8" s="7">
        <v>48</v>
      </c>
    </row>
    <row r="9" spans="1:44" x14ac:dyDescent="0.35">
      <c r="A9" s="8" t="s">
        <v>67</v>
      </c>
      <c r="B9" s="6">
        <v>54</v>
      </c>
      <c r="C9" s="6">
        <v>54</v>
      </c>
      <c r="D9" s="6">
        <v>52</v>
      </c>
      <c r="E9" s="6">
        <v>54</v>
      </c>
      <c r="F9" s="6">
        <v>54</v>
      </c>
      <c r="G9" s="7">
        <v>54</v>
      </c>
      <c r="H9" s="7">
        <v>62</v>
      </c>
      <c r="I9" s="7">
        <v>54</v>
      </c>
      <c r="J9" s="7">
        <v>52</v>
      </c>
      <c r="K9" s="7">
        <v>54</v>
      </c>
      <c r="L9" s="7">
        <v>62</v>
      </c>
      <c r="M9" s="7">
        <v>52</v>
      </c>
      <c r="N9" s="7">
        <v>54</v>
      </c>
      <c r="O9" s="7">
        <v>62</v>
      </c>
      <c r="P9" s="7">
        <v>62</v>
      </c>
      <c r="Q9" s="7">
        <v>54</v>
      </c>
      <c r="R9" s="7">
        <v>52</v>
      </c>
      <c r="S9" s="7">
        <v>54</v>
      </c>
      <c r="T9" s="7">
        <v>62</v>
      </c>
      <c r="U9" s="7">
        <v>62</v>
      </c>
      <c r="V9" s="7">
        <v>62</v>
      </c>
      <c r="W9" s="7">
        <v>64</v>
      </c>
      <c r="X9" s="7">
        <v>52</v>
      </c>
      <c r="Y9" s="7">
        <v>62</v>
      </c>
      <c r="Z9" s="7">
        <v>62</v>
      </c>
      <c r="AA9" s="7">
        <v>62</v>
      </c>
      <c r="AB9" s="7">
        <v>52</v>
      </c>
      <c r="AC9" s="7">
        <v>54</v>
      </c>
      <c r="AD9" s="7">
        <v>52</v>
      </c>
      <c r="AE9" s="7">
        <v>54</v>
      </c>
      <c r="AF9" s="7">
        <v>50</v>
      </c>
      <c r="AG9" s="7">
        <v>60</v>
      </c>
      <c r="AH9" s="7">
        <v>62</v>
      </c>
      <c r="AI9" s="7">
        <v>60</v>
      </c>
      <c r="AJ9" s="7">
        <v>62</v>
      </c>
      <c r="AK9" s="7">
        <v>62</v>
      </c>
      <c r="AL9" s="7">
        <v>62</v>
      </c>
      <c r="AM9" s="7">
        <v>50</v>
      </c>
      <c r="AN9" s="7">
        <v>62</v>
      </c>
      <c r="AO9" s="7">
        <v>62</v>
      </c>
      <c r="AP9" s="7">
        <v>62</v>
      </c>
      <c r="AQ9" s="7">
        <v>62</v>
      </c>
      <c r="AR9" s="7">
        <v>50</v>
      </c>
    </row>
    <row r="10" spans="1:44" x14ac:dyDescent="0.35">
      <c r="A10" s="8" t="s">
        <v>68</v>
      </c>
      <c r="B10" s="6">
        <v>72</v>
      </c>
      <c r="C10" s="6">
        <v>74</v>
      </c>
      <c r="D10" s="6">
        <v>72</v>
      </c>
      <c r="E10" s="6">
        <v>82</v>
      </c>
      <c r="F10" s="6">
        <v>76</v>
      </c>
      <c r="G10" s="7">
        <v>72</v>
      </c>
      <c r="H10" s="7">
        <v>76</v>
      </c>
      <c r="I10" s="7">
        <v>78</v>
      </c>
      <c r="J10" s="7">
        <v>84</v>
      </c>
      <c r="K10" s="7">
        <v>72</v>
      </c>
      <c r="L10" s="7">
        <v>78</v>
      </c>
      <c r="M10" s="7">
        <v>72</v>
      </c>
      <c r="N10" s="7">
        <v>74</v>
      </c>
      <c r="O10" s="7">
        <v>74</v>
      </c>
      <c r="P10" s="7">
        <v>76</v>
      </c>
      <c r="Q10" s="7">
        <v>72</v>
      </c>
      <c r="R10" s="7">
        <v>86</v>
      </c>
      <c r="S10" s="7">
        <v>70</v>
      </c>
      <c r="T10" s="7">
        <v>72</v>
      </c>
      <c r="U10" s="7">
        <v>82</v>
      </c>
      <c r="V10" s="7">
        <v>74</v>
      </c>
      <c r="W10" s="7">
        <v>84</v>
      </c>
      <c r="X10" s="7">
        <v>74</v>
      </c>
      <c r="Y10" s="7">
        <v>86</v>
      </c>
      <c r="Z10" s="7">
        <v>72</v>
      </c>
      <c r="AA10" s="7">
        <v>82</v>
      </c>
      <c r="AB10" s="7">
        <v>72</v>
      </c>
      <c r="AC10" s="7">
        <v>74</v>
      </c>
      <c r="AD10" s="7">
        <v>86</v>
      </c>
      <c r="AE10" s="7">
        <v>84</v>
      </c>
      <c r="AF10" s="7">
        <v>86</v>
      </c>
      <c r="AG10" s="7">
        <v>86</v>
      </c>
      <c r="AH10" s="7">
        <v>72</v>
      </c>
      <c r="AI10" s="7">
        <v>82</v>
      </c>
      <c r="AJ10" s="7">
        <v>84</v>
      </c>
      <c r="AK10" s="7">
        <v>76</v>
      </c>
      <c r="AL10" s="7">
        <v>86</v>
      </c>
      <c r="AM10" s="7">
        <v>72</v>
      </c>
      <c r="AN10" s="7">
        <v>82</v>
      </c>
      <c r="AO10" s="7">
        <v>84</v>
      </c>
      <c r="AP10" s="7">
        <v>84</v>
      </c>
      <c r="AQ10" s="7">
        <v>82</v>
      </c>
      <c r="AR10" s="7">
        <v>86</v>
      </c>
    </row>
    <row r="11" spans="1:44" x14ac:dyDescent="0.35">
      <c r="A11" s="8" t="s">
        <v>69</v>
      </c>
      <c r="B11" s="6">
        <v>84</v>
      </c>
      <c r="C11" s="6">
        <v>86</v>
      </c>
      <c r="D11" s="6">
        <v>86</v>
      </c>
      <c r="E11" s="6">
        <v>90</v>
      </c>
      <c r="F11" s="6">
        <v>84</v>
      </c>
      <c r="G11" s="7">
        <v>90</v>
      </c>
      <c r="H11" s="7">
        <v>86</v>
      </c>
      <c r="I11" s="7">
        <v>86</v>
      </c>
      <c r="J11" s="7">
        <v>86</v>
      </c>
      <c r="K11" s="7">
        <v>86</v>
      </c>
      <c r="L11" s="7">
        <v>86</v>
      </c>
      <c r="M11" s="7">
        <v>90</v>
      </c>
      <c r="N11" s="7">
        <v>86</v>
      </c>
      <c r="O11" s="7">
        <v>82</v>
      </c>
      <c r="P11" s="7">
        <v>86</v>
      </c>
      <c r="Q11" s="7">
        <v>86</v>
      </c>
      <c r="R11" s="7">
        <v>88</v>
      </c>
      <c r="S11" s="7">
        <v>88</v>
      </c>
      <c r="T11" s="7">
        <v>86</v>
      </c>
      <c r="U11" s="7">
        <v>90</v>
      </c>
      <c r="V11" s="7">
        <v>84</v>
      </c>
      <c r="W11" s="7">
        <v>84</v>
      </c>
      <c r="X11" s="7">
        <v>86</v>
      </c>
      <c r="Y11" s="7">
        <v>88</v>
      </c>
      <c r="Z11" s="7">
        <v>84</v>
      </c>
      <c r="AA11" s="7">
        <v>86</v>
      </c>
      <c r="AB11" s="7">
        <v>88</v>
      </c>
      <c r="AC11" s="7">
        <v>84</v>
      </c>
      <c r="AD11" s="7">
        <v>84</v>
      </c>
      <c r="AE11" s="7">
        <v>86</v>
      </c>
      <c r="AF11" s="7">
        <v>88</v>
      </c>
      <c r="AG11" s="7">
        <v>84</v>
      </c>
      <c r="AH11" s="7">
        <v>88</v>
      </c>
      <c r="AI11" s="7">
        <v>88</v>
      </c>
      <c r="AJ11" s="7">
        <v>84</v>
      </c>
      <c r="AK11" s="7">
        <v>88</v>
      </c>
      <c r="AL11" s="7">
        <v>90</v>
      </c>
      <c r="AM11" s="7">
        <v>86</v>
      </c>
      <c r="AN11" s="7">
        <v>86</v>
      </c>
      <c r="AO11" s="7">
        <v>84</v>
      </c>
      <c r="AP11" s="7">
        <v>84</v>
      </c>
      <c r="AQ11" s="7">
        <v>86</v>
      </c>
      <c r="AR11" s="7">
        <v>86</v>
      </c>
    </row>
    <row r="12" spans="1:44" x14ac:dyDescent="0.35">
      <c r="A12" s="8" t="s">
        <v>70</v>
      </c>
      <c r="B12" s="6">
        <v>88</v>
      </c>
      <c r="C12" s="6">
        <v>92</v>
      </c>
      <c r="D12" s="6">
        <v>92</v>
      </c>
      <c r="E12" s="6">
        <v>92</v>
      </c>
      <c r="F12" s="6">
        <v>88</v>
      </c>
      <c r="G12" s="7">
        <v>90</v>
      </c>
      <c r="H12" s="7">
        <v>90</v>
      </c>
      <c r="I12" s="7">
        <v>92</v>
      </c>
      <c r="J12" s="7">
        <v>92</v>
      </c>
      <c r="K12" s="7">
        <v>88</v>
      </c>
      <c r="L12" s="7">
        <v>88</v>
      </c>
      <c r="M12" s="7">
        <v>90</v>
      </c>
      <c r="N12" s="7">
        <v>86</v>
      </c>
      <c r="O12" s="7">
        <v>88</v>
      </c>
      <c r="P12" s="7">
        <v>92</v>
      </c>
      <c r="Q12" s="7">
        <v>92</v>
      </c>
      <c r="R12" s="7">
        <v>92</v>
      </c>
      <c r="S12" s="7">
        <v>88</v>
      </c>
      <c r="T12" s="7">
        <v>90</v>
      </c>
      <c r="U12" s="7">
        <v>92</v>
      </c>
      <c r="V12" s="7">
        <v>92</v>
      </c>
      <c r="W12" s="7">
        <v>82</v>
      </c>
      <c r="X12" s="7">
        <v>90</v>
      </c>
      <c r="Y12" s="7">
        <v>84</v>
      </c>
      <c r="Z12" s="7">
        <v>92</v>
      </c>
      <c r="AA12" s="7">
        <v>88</v>
      </c>
      <c r="AB12" s="7">
        <v>90</v>
      </c>
      <c r="AC12" s="7">
        <v>88</v>
      </c>
      <c r="AD12" s="7">
        <v>92</v>
      </c>
      <c r="AE12" s="7">
        <v>82</v>
      </c>
      <c r="AF12" s="7">
        <v>82</v>
      </c>
      <c r="AG12" s="7">
        <v>92</v>
      </c>
      <c r="AH12" s="7">
        <v>92</v>
      </c>
      <c r="AI12" s="7">
        <v>82</v>
      </c>
      <c r="AJ12" s="7">
        <v>82</v>
      </c>
      <c r="AK12" s="7">
        <v>90</v>
      </c>
      <c r="AL12" s="7">
        <v>82</v>
      </c>
      <c r="AM12" s="7">
        <v>84</v>
      </c>
      <c r="AN12" s="7">
        <v>82</v>
      </c>
      <c r="AO12" s="7">
        <v>82</v>
      </c>
      <c r="AP12" s="7">
        <v>82</v>
      </c>
      <c r="AQ12" s="7">
        <v>80</v>
      </c>
      <c r="AR12" s="7">
        <v>82</v>
      </c>
    </row>
    <row r="13" spans="1:44" x14ac:dyDescent="0.35">
      <c r="A13" s="8" t="s">
        <v>71</v>
      </c>
      <c r="B13" s="6">
        <v>92</v>
      </c>
      <c r="C13" s="6">
        <v>90</v>
      </c>
      <c r="D13" s="6">
        <v>88</v>
      </c>
      <c r="E13" s="6">
        <v>88</v>
      </c>
      <c r="F13" s="6">
        <v>92</v>
      </c>
      <c r="G13" s="7">
        <v>88</v>
      </c>
      <c r="H13" s="7">
        <v>90</v>
      </c>
      <c r="I13" s="7">
        <v>90</v>
      </c>
      <c r="J13" s="7">
        <v>88</v>
      </c>
      <c r="K13" s="7">
        <v>90</v>
      </c>
      <c r="L13" s="7">
        <v>90</v>
      </c>
      <c r="M13" s="7">
        <v>90</v>
      </c>
      <c r="N13" s="7">
        <v>88</v>
      </c>
      <c r="O13" s="7">
        <v>86</v>
      </c>
      <c r="P13" s="7">
        <v>90</v>
      </c>
      <c r="Q13" s="7">
        <v>88</v>
      </c>
      <c r="R13" s="7">
        <v>84</v>
      </c>
      <c r="S13" s="7">
        <v>90</v>
      </c>
      <c r="T13" s="7">
        <v>92</v>
      </c>
      <c r="U13" s="7">
        <v>90</v>
      </c>
      <c r="V13" s="7">
        <v>82</v>
      </c>
      <c r="W13" s="7">
        <v>82</v>
      </c>
      <c r="X13" s="7">
        <v>88</v>
      </c>
      <c r="Y13" s="7">
        <v>82</v>
      </c>
      <c r="Z13" s="7">
        <v>84</v>
      </c>
      <c r="AA13" s="7">
        <v>90</v>
      </c>
      <c r="AB13" s="7">
        <v>84</v>
      </c>
      <c r="AC13" s="7">
        <v>90</v>
      </c>
      <c r="AD13" s="7">
        <v>92</v>
      </c>
      <c r="AE13" s="7">
        <v>82</v>
      </c>
      <c r="AF13" s="7">
        <v>82</v>
      </c>
      <c r="AG13" s="7">
        <v>82</v>
      </c>
      <c r="AH13" s="7">
        <v>82</v>
      </c>
      <c r="AI13" s="7">
        <v>82</v>
      </c>
      <c r="AJ13" s="7">
        <v>80</v>
      </c>
      <c r="AK13" s="7">
        <v>84</v>
      </c>
      <c r="AL13" s="7">
        <v>82</v>
      </c>
      <c r="AM13" s="7">
        <v>82</v>
      </c>
      <c r="AN13" s="7">
        <v>82</v>
      </c>
      <c r="AO13" s="7">
        <v>80</v>
      </c>
      <c r="AP13" s="7">
        <v>80</v>
      </c>
      <c r="AQ13" s="7">
        <v>76</v>
      </c>
      <c r="AR13" s="7">
        <v>82</v>
      </c>
    </row>
    <row r="14" spans="1:44" ht="14" customHeight="1" x14ac:dyDescent="0.35">
      <c r="A14" s="8" t="s">
        <v>72</v>
      </c>
      <c r="B14" s="6">
        <v>80</v>
      </c>
      <c r="C14" s="6">
        <v>80</v>
      </c>
      <c r="D14" s="6">
        <v>82</v>
      </c>
      <c r="E14" s="6">
        <v>84</v>
      </c>
      <c r="F14" s="6">
        <v>86</v>
      </c>
      <c r="G14" s="7">
        <v>86</v>
      </c>
      <c r="H14" s="7">
        <v>84</v>
      </c>
      <c r="I14" s="7">
        <v>84</v>
      </c>
      <c r="J14" s="7">
        <v>84</v>
      </c>
      <c r="K14" s="7">
        <v>82</v>
      </c>
      <c r="L14" s="7">
        <v>86</v>
      </c>
      <c r="M14" s="7">
        <v>84</v>
      </c>
      <c r="N14" s="7">
        <v>82</v>
      </c>
      <c r="O14" s="7">
        <v>84</v>
      </c>
      <c r="P14" s="7">
        <v>80</v>
      </c>
      <c r="Q14" s="7">
        <v>82</v>
      </c>
      <c r="R14" s="7">
        <v>82</v>
      </c>
      <c r="S14" s="7">
        <v>86</v>
      </c>
      <c r="T14" s="7">
        <v>84</v>
      </c>
      <c r="U14" s="7">
        <v>82</v>
      </c>
      <c r="V14" s="7">
        <v>84</v>
      </c>
      <c r="W14" s="7">
        <v>82</v>
      </c>
      <c r="X14" s="7">
        <v>84</v>
      </c>
      <c r="Y14" s="7">
        <v>86</v>
      </c>
      <c r="Z14" s="7">
        <v>84</v>
      </c>
      <c r="AA14" s="7">
        <v>84</v>
      </c>
      <c r="AB14" s="7">
        <v>84</v>
      </c>
      <c r="AC14" s="7">
        <v>86</v>
      </c>
      <c r="AD14" s="7">
        <v>86</v>
      </c>
      <c r="AE14" s="7">
        <v>84</v>
      </c>
      <c r="AF14" s="7">
        <v>86</v>
      </c>
      <c r="AG14" s="7">
        <v>88</v>
      </c>
      <c r="AH14" s="7">
        <v>84</v>
      </c>
      <c r="AI14" s="7">
        <v>86</v>
      </c>
      <c r="AJ14" s="7">
        <v>86</v>
      </c>
      <c r="AK14" s="7">
        <v>86</v>
      </c>
      <c r="AL14" s="7">
        <v>86</v>
      </c>
      <c r="AM14" s="7">
        <v>86</v>
      </c>
      <c r="AN14" s="7">
        <v>82</v>
      </c>
      <c r="AO14" s="7">
        <v>88</v>
      </c>
      <c r="AP14" s="7">
        <v>86</v>
      </c>
      <c r="AQ14" s="7">
        <v>86</v>
      </c>
      <c r="AR14" s="7">
        <v>86</v>
      </c>
    </row>
    <row r="16" spans="1:44" x14ac:dyDescent="0.35">
      <c r="A16" s="1" t="s">
        <v>77</v>
      </c>
      <c r="B16" s="2" t="s">
        <v>49</v>
      </c>
      <c r="C16" s="3"/>
    </row>
    <row r="18" spans="1:45" x14ac:dyDescent="0.35">
      <c r="A18" s="1" t="s">
        <v>78</v>
      </c>
      <c r="B18" s="2" t="s">
        <v>54</v>
      </c>
      <c r="C18" s="3"/>
    </row>
    <row r="20" spans="1:45" s="22" customFormat="1" x14ac:dyDescent="0.35">
      <c r="A20" s="23" t="s">
        <v>222</v>
      </c>
      <c r="B20" s="11">
        <v>2018</v>
      </c>
      <c r="C20" s="11">
        <v>2019</v>
      </c>
      <c r="D20" s="11">
        <v>2020</v>
      </c>
      <c r="E20" s="11">
        <v>2021</v>
      </c>
      <c r="F20" s="11">
        <v>2022</v>
      </c>
      <c r="G20" s="11">
        <v>2023</v>
      </c>
      <c r="H20" s="11">
        <v>2024</v>
      </c>
      <c r="I20" s="11">
        <v>2025</v>
      </c>
      <c r="J20" s="11">
        <v>2026</v>
      </c>
      <c r="K20" s="11">
        <v>2027</v>
      </c>
      <c r="L20" s="11">
        <v>2028</v>
      </c>
      <c r="M20" s="11">
        <v>2029</v>
      </c>
      <c r="N20" s="11">
        <v>2030</v>
      </c>
      <c r="O20" s="11">
        <v>2031</v>
      </c>
      <c r="P20" s="11">
        <v>2032</v>
      </c>
      <c r="Q20" s="11">
        <v>2033</v>
      </c>
      <c r="R20" s="11">
        <v>2034</v>
      </c>
      <c r="S20" s="11">
        <v>2035</v>
      </c>
      <c r="T20" s="11">
        <v>2036</v>
      </c>
      <c r="U20" s="11">
        <v>2037</v>
      </c>
      <c r="V20" s="11">
        <v>2038</v>
      </c>
      <c r="W20" s="11">
        <v>2039</v>
      </c>
      <c r="X20" s="11">
        <v>2040</v>
      </c>
      <c r="Y20" s="11">
        <v>2041</v>
      </c>
      <c r="Z20" s="11">
        <v>2042</v>
      </c>
      <c r="AA20" s="11">
        <v>2043</v>
      </c>
      <c r="AB20" s="11">
        <v>2044</v>
      </c>
      <c r="AC20" s="8">
        <v>2045</v>
      </c>
      <c r="AD20" s="8">
        <v>2046</v>
      </c>
      <c r="AE20" s="8">
        <v>2047</v>
      </c>
      <c r="AF20" s="8">
        <v>2048</v>
      </c>
      <c r="AG20" s="8">
        <v>2049</v>
      </c>
      <c r="AH20" s="8">
        <v>2050</v>
      </c>
      <c r="AI20" s="8">
        <v>2051</v>
      </c>
      <c r="AJ20" s="8">
        <v>2052</v>
      </c>
      <c r="AK20" s="8">
        <v>2053</v>
      </c>
      <c r="AL20" s="8">
        <v>2054</v>
      </c>
      <c r="AM20" s="8">
        <v>2055</v>
      </c>
      <c r="AN20" s="8">
        <v>2056</v>
      </c>
      <c r="AO20" s="8">
        <v>2057</v>
      </c>
      <c r="AP20" s="8">
        <v>2058</v>
      </c>
      <c r="AQ20" s="8">
        <v>2059</v>
      </c>
      <c r="AR20" s="8">
        <v>2060</v>
      </c>
      <c r="AS20" s="25" t="s">
        <v>39</v>
      </c>
    </row>
    <row r="21" spans="1:45" s="22" customFormat="1" x14ac:dyDescent="0.35">
      <c r="A21" s="23" t="s">
        <v>79</v>
      </c>
      <c r="B21" s="29">
        <v>6.5714285714285712</v>
      </c>
      <c r="C21" s="29">
        <v>6.1428571428571432</v>
      </c>
      <c r="D21" s="29">
        <v>6.1428571428571432</v>
      </c>
      <c r="E21" s="29">
        <v>6.5714285714285712</v>
      </c>
      <c r="F21" s="29">
        <v>5.8571428571428568</v>
      </c>
      <c r="G21" s="29">
        <v>6.7142857142857144</v>
      </c>
      <c r="H21" s="29">
        <v>7</v>
      </c>
      <c r="I21" s="29">
        <v>6.7142857142857144</v>
      </c>
      <c r="J21" s="29">
        <v>7.1428571428571432</v>
      </c>
      <c r="K21" s="29">
        <v>6</v>
      </c>
      <c r="L21" s="29">
        <v>6.4285714285714288</v>
      </c>
      <c r="M21" s="29">
        <v>6</v>
      </c>
      <c r="N21" s="29">
        <v>6.7142857142857144</v>
      </c>
      <c r="O21" s="29">
        <v>5.8571428571428568</v>
      </c>
      <c r="P21" s="29">
        <v>6.4285714285714288</v>
      </c>
      <c r="Q21" s="29">
        <v>7.4285714285714288</v>
      </c>
      <c r="R21" s="29">
        <v>7.1428571428571432</v>
      </c>
      <c r="S21" s="29">
        <v>6.2857142857142856</v>
      </c>
      <c r="T21" s="29">
        <v>6.8571428571428568</v>
      </c>
      <c r="U21" s="29">
        <v>6.8571428571428568</v>
      </c>
      <c r="V21" s="29">
        <v>6.8571428571428568</v>
      </c>
      <c r="W21" s="29">
        <v>6</v>
      </c>
      <c r="X21" s="29">
        <v>6.7142857142857144</v>
      </c>
      <c r="Y21" s="29">
        <v>7.7142857142857144</v>
      </c>
      <c r="Z21" s="29">
        <v>6.4285714285714288</v>
      </c>
      <c r="AA21" s="29">
        <v>7</v>
      </c>
      <c r="AB21" s="29">
        <v>7.2857142857142856</v>
      </c>
      <c r="AC21" s="29">
        <v>7.7142857142857144</v>
      </c>
      <c r="AD21" s="29">
        <v>7.4285714285714288</v>
      </c>
      <c r="AE21" s="29">
        <v>7.2857142857142856</v>
      </c>
      <c r="AF21" s="29">
        <v>7.5714285714285712</v>
      </c>
      <c r="AG21" s="29">
        <v>7.8571428571428568</v>
      </c>
      <c r="AH21" s="29">
        <v>7.1428571428571432</v>
      </c>
      <c r="AI21" s="29">
        <v>7.5714285714285712</v>
      </c>
      <c r="AJ21" s="29">
        <v>7</v>
      </c>
      <c r="AK21" s="29">
        <v>7.4285714285714288</v>
      </c>
      <c r="AL21" s="29">
        <v>7.8571428571428568</v>
      </c>
      <c r="AM21" s="29">
        <v>6.8571428571428568</v>
      </c>
      <c r="AN21" s="29">
        <v>7.1428571428571432</v>
      </c>
      <c r="AO21" s="29">
        <v>7.8571428571428568</v>
      </c>
      <c r="AP21" s="29">
        <v>6.7142857142857144</v>
      </c>
      <c r="AQ21" s="29">
        <v>6.7142857142857144</v>
      </c>
      <c r="AR21" s="29">
        <v>6.2857142857142856</v>
      </c>
      <c r="AS21" s="25"/>
    </row>
    <row r="22" spans="1:45" s="22" customFormat="1" x14ac:dyDescent="0.35">
      <c r="A22" s="23" t="s">
        <v>80</v>
      </c>
      <c r="B22" s="29">
        <v>12.857142857142858</v>
      </c>
      <c r="C22" s="29">
        <v>9.4285714285714288</v>
      </c>
      <c r="D22" s="29">
        <v>12.857142857142858</v>
      </c>
      <c r="E22" s="29">
        <v>15.714285714285714</v>
      </c>
      <c r="F22" s="29">
        <v>14.857142857142858</v>
      </c>
      <c r="G22" s="29">
        <v>12</v>
      </c>
      <c r="H22" s="29">
        <v>16.571428571428573</v>
      </c>
      <c r="I22" s="29">
        <v>19.142857142857142</v>
      </c>
      <c r="J22" s="29">
        <v>18.142857142857142</v>
      </c>
      <c r="K22" s="29">
        <v>18.714285714285715</v>
      </c>
      <c r="L22" s="29">
        <v>14.857142857142858</v>
      </c>
      <c r="M22" s="29">
        <v>20.428571428571427</v>
      </c>
      <c r="N22" s="29">
        <v>12</v>
      </c>
      <c r="O22" s="29">
        <v>14.142857142857142</v>
      </c>
      <c r="P22" s="29">
        <v>20.428571428571427</v>
      </c>
      <c r="Q22" s="29">
        <v>21.142857142857142</v>
      </c>
      <c r="R22" s="29">
        <v>35.857142857142854</v>
      </c>
      <c r="S22" s="29">
        <v>25.428571428571427</v>
      </c>
      <c r="T22" s="29">
        <v>21</v>
      </c>
      <c r="U22" s="29">
        <v>27.571428571428573</v>
      </c>
      <c r="V22" s="29">
        <v>28.714285714285715</v>
      </c>
      <c r="W22" s="29">
        <v>32.142857142857146</v>
      </c>
      <c r="X22" s="29">
        <v>21.428571428571427</v>
      </c>
      <c r="Y22" s="29">
        <v>29.857142857142858</v>
      </c>
      <c r="Z22" s="29">
        <v>32</v>
      </c>
      <c r="AA22" s="29">
        <v>20.428571428571427</v>
      </c>
      <c r="AB22" s="29">
        <v>22.571428571428573</v>
      </c>
      <c r="AC22" s="29">
        <v>19</v>
      </c>
      <c r="AD22" s="29">
        <v>24.142857142857142</v>
      </c>
      <c r="AE22" s="29">
        <v>28.857142857142858</v>
      </c>
      <c r="AF22" s="29">
        <v>36.571428571428569</v>
      </c>
      <c r="AG22" s="29">
        <v>33</v>
      </c>
      <c r="AH22" s="29">
        <v>41.714285714285715</v>
      </c>
      <c r="AI22" s="29">
        <v>39.142857142857146</v>
      </c>
      <c r="AJ22" s="29">
        <v>38.857142857142854</v>
      </c>
      <c r="AK22" s="29">
        <v>36.714285714285715</v>
      </c>
      <c r="AL22" s="29">
        <v>40</v>
      </c>
      <c r="AM22" s="29">
        <v>35</v>
      </c>
      <c r="AN22" s="29">
        <v>39.142857142857146</v>
      </c>
      <c r="AO22" s="29">
        <v>38.857142857142854</v>
      </c>
      <c r="AP22" s="29">
        <v>39.857142857142854</v>
      </c>
      <c r="AQ22" s="29">
        <v>42.285714285714285</v>
      </c>
      <c r="AR22" s="29">
        <v>41.285714285714285</v>
      </c>
      <c r="AS22" s="25"/>
    </row>
    <row r="23" spans="1:45" s="22" customFormat="1" x14ac:dyDescent="0.35">
      <c r="A23" s="23" t="s">
        <v>81</v>
      </c>
      <c r="B23" s="29">
        <v>13</v>
      </c>
      <c r="C23" s="29">
        <v>9.8333333333333339</v>
      </c>
      <c r="D23" s="29">
        <v>11.5</v>
      </c>
      <c r="E23" s="29">
        <v>9.8333333333333339</v>
      </c>
      <c r="F23" s="29">
        <v>11.5</v>
      </c>
      <c r="G23" s="29">
        <v>12.833333333333334</v>
      </c>
      <c r="H23" s="29">
        <v>9.3333333333333339</v>
      </c>
      <c r="I23" s="29">
        <v>12.5</v>
      </c>
      <c r="J23" s="29">
        <v>9.3333333333333339</v>
      </c>
      <c r="K23" s="29">
        <v>8.8333333333333339</v>
      </c>
      <c r="L23" s="29">
        <v>9.6666666666666661</v>
      </c>
      <c r="M23" s="29">
        <v>13.666666666666666</v>
      </c>
      <c r="N23" s="29">
        <v>13.333333333333334</v>
      </c>
      <c r="O23" s="29">
        <v>13</v>
      </c>
      <c r="P23" s="29">
        <v>9.8333333333333339</v>
      </c>
      <c r="Q23" s="29">
        <v>10.5</v>
      </c>
      <c r="R23" s="29">
        <v>11.166666666666666</v>
      </c>
      <c r="S23" s="29">
        <v>10.833333333333334</v>
      </c>
      <c r="T23" s="29">
        <v>7.833333333333333</v>
      </c>
      <c r="U23" s="29">
        <v>10</v>
      </c>
      <c r="V23" s="29">
        <v>11.5</v>
      </c>
      <c r="W23" s="29">
        <v>10.833333333333334</v>
      </c>
      <c r="X23" s="29">
        <v>11.166666666666666</v>
      </c>
      <c r="Y23" s="29">
        <v>14.5</v>
      </c>
      <c r="Z23" s="29">
        <v>12.166666666666666</v>
      </c>
      <c r="AA23" s="29">
        <v>11.5</v>
      </c>
      <c r="AB23" s="29">
        <v>11.5</v>
      </c>
      <c r="AC23" s="29">
        <v>10</v>
      </c>
      <c r="AD23" s="29">
        <v>12</v>
      </c>
      <c r="AE23" s="29">
        <v>12</v>
      </c>
      <c r="AF23" s="29">
        <v>12.166666666666666</v>
      </c>
      <c r="AG23" s="29">
        <v>10.166666666666666</v>
      </c>
      <c r="AH23" s="29">
        <v>10.5</v>
      </c>
      <c r="AI23" s="29">
        <v>8.3333333333333339</v>
      </c>
      <c r="AJ23" s="29">
        <v>9.8333333333333339</v>
      </c>
      <c r="AK23" s="29">
        <v>10.666666666666666</v>
      </c>
      <c r="AL23" s="29">
        <v>8.8333333333333339</v>
      </c>
      <c r="AM23" s="29">
        <v>7.666666666666667</v>
      </c>
      <c r="AN23" s="29">
        <v>12.5</v>
      </c>
      <c r="AO23" s="29">
        <v>10.333333333333334</v>
      </c>
      <c r="AP23" s="29">
        <v>10</v>
      </c>
      <c r="AQ23" s="29">
        <v>13.666666666666666</v>
      </c>
      <c r="AR23" s="29">
        <v>8.6666666666666661</v>
      </c>
      <c r="AS23" s="25"/>
    </row>
    <row r="24" spans="1:45" s="22" customFormat="1" x14ac:dyDescent="0.35">
      <c r="A24" s="23" t="s">
        <v>82</v>
      </c>
      <c r="B24" s="29">
        <v>9.875</v>
      </c>
      <c r="C24" s="29">
        <v>8.5</v>
      </c>
      <c r="D24" s="29">
        <v>9.25</v>
      </c>
      <c r="E24" s="29">
        <v>8.375</v>
      </c>
      <c r="F24" s="29">
        <v>8.875</v>
      </c>
      <c r="G24" s="29">
        <v>9.125</v>
      </c>
      <c r="H24" s="29">
        <v>8.75</v>
      </c>
      <c r="I24" s="29">
        <v>8.625</v>
      </c>
      <c r="J24" s="29">
        <v>7</v>
      </c>
      <c r="K24" s="29">
        <v>7.625</v>
      </c>
      <c r="L24" s="29">
        <v>7.125</v>
      </c>
      <c r="M24" s="29">
        <v>9.25</v>
      </c>
      <c r="N24" s="29">
        <v>10.25</v>
      </c>
      <c r="O24" s="29">
        <v>10.5</v>
      </c>
      <c r="P24" s="29">
        <v>7.25</v>
      </c>
      <c r="Q24" s="29">
        <v>7.375</v>
      </c>
      <c r="R24" s="29">
        <v>8</v>
      </c>
      <c r="S24" s="29">
        <v>9.875</v>
      </c>
      <c r="T24" s="29">
        <v>9.25</v>
      </c>
      <c r="U24" s="29">
        <v>8.25</v>
      </c>
      <c r="V24" s="29">
        <v>8.875</v>
      </c>
      <c r="W24" s="29">
        <v>8</v>
      </c>
      <c r="X24" s="29">
        <v>8</v>
      </c>
      <c r="Y24" s="29">
        <v>8.125</v>
      </c>
      <c r="Z24" s="29">
        <v>11.625</v>
      </c>
      <c r="AA24" s="29">
        <v>8.5</v>
      </c>
      <c r="AB24" s="29">
        <v>10.75</v>
      </c>
      <c r="AC24" s="29">
        <v>10.625</v>
      </c>
      <c r="AD24" s="29">
        <v>8.875</v>
      </c>
      <c r="AE24" s="29">
        <v>8.875</v>
      </c>
      <c r="AF24" s="29">
        <v>7.625</v>
      </c>
      <c r="AG24" s="29">
        <v>8.5</v>
      </c>
      <c r="AH24" s="29">
        <v>9.25</v>
      </c>
      <c r="AI24" s="29">
        <v>8.375</v>
      </c>
      <c r="AJ24" s="29">
        <v>9.375</v>
      </c>
      <c r="AK24" s="29">
        <v>7.875</v>
      </c>
      <c r="AL24" s="29">
        <v>7</v>
      </c>
      <c r="AM24" s="29">
        <v>9.5</v>
      </c>
      <c r="AN24" s="29">
        <v>11</v>
      </c>
      <c r="AO24" s="29">
        <v>8.375</v>
      </c>
      <c r="AP24" s="29">
        <v>9</v>
      </c>
      <c r="AQ24" s="29">
        <v>8.625</v>
      </c>
      <c r="AR24" s="29">
        <v>8.625</v>
      </c>
      <c r="AS24" s="25"/>
    </row>
    <row r="25" spans="1:45" s="22" customFormat="1" x14ac:dyDescent="0.35">
      <c r="A25" s="23" t="s">
        <v>83</v>
      </c>
      <c r="B25" s="29">
        <v>2.5714285714285716</v>
      </c>
      <c r="C25" s="29">
        <v>3.7142857142857144</v>
      </c>
      <c r="D25" s="29">
        <v>4.4285714285714288</v>
      </c>
      <c r="E25" s="29">
        <v>4.4285714285714288</v>
      </c>
      <c r="F25" s="29">
        <v>4.4285714285714288</v>
      </c>
      <c r="G25" s="29">
        <v>5.1428571428571432</v>
      </c>
      <c r="H25" s="29">
        <v>3.4285714285714284</v>
      </c>
      <c r="I25" s="29">
        <v>4.7142857142857144</v>
      </c>
      <c r="J25" s="29">
        <v>4.2857142857142856</v>
      </c>
      <c r="K25" s="29">
        <v>4.2857142857142856</v>
      </c>
      <c r="L25" s="29">
        <v>3.8571428571428572</v>
      </c>
      <c r="M25" s="29">
        <v>4.7142857142857144</v>
      </c>
      <c r="N25" s="29">
        <v>3.5714285714285716</v>
      </c>
      <c r="O25" s="29">
        <v>4</v>
      </c>
      <c r="P25" s="29">
        <v>5.5714285714285712</v>
      </c>
      <c r="Q25" s="29">
        <v>4.1428571428571432</v>
      </c>
      <c r="R25" s="29">
        <v>3.8571428571428572</v>
      </c>
      <c r="S25" s="29">
        <v>3.2857142857142856</v>
      </c>
      <c r="T25" s="29">
        <v>3.5714285714285716</v>
      </c>
      <c r="U25" s="29">
        <v>3.8571428571428572</v>
      </c>
      <c r="V25" s="29">
        <v>4</v>
      </c>
      <c r="W25" s="29">
        <v>3</v>
      </c>
      <c r="X25" s="29">
        <v>3.1428571428571428</v>
      </c>
      <c r="Y25" s="29">
        <v>4.7142857142857144</v>
      </c>
      <c r="Z25" s="29">
        <v>3.7142857142857144</v>
      </c>
      <c r="AA25" s="29">
        <v>2.8571428571428572</v>
      </c>
      <c r="AB25" s="29">
        <v>4</v>
      </c>
      <c r="AC25" s="29">
        <v>2.4285714285714284</v>
      </c>
      <c r="AD25" s="29">
        <v>2.4285714285714284</v>
      </c>
      <c r="AE25" s="29">
        <v>3.4285714285714284</v>
      </c>
      <c r="AF25" s="29">
        <v>4</v>
      </c>
      <c r="AG25" s="29">
        <v>2.8571428571428572</v>
      </c>
      <c r="AH25" s="29">
        <v>2.7142857142857144</v>
      </c>
      <c r="AI25" s="29">
        <v>3.2857142857142856</v>
      </c>
      <c r="AJ25" s="29">
        <v>2.8571428571428572</v>
      </c>
      <c r="AK25" s="29">
        <v>3</v>
      </c>
      <c r="AL25" s="29">
        <v>2.5714285714285716</v>
      </c>
      <c r="AM25" s="29">
        <v>2.7142857142857144</v>
      </c>
      <c r="AN25" s="29">
        <v>2.5714285714285716</v>
      </c>
      <c r="AO25" s="29">
        <v>3.1428571428571428</v>
      </c>
      <c r="AP25" s="29">
        <v>2.8571428571428572</v>
      </c>
      <c r="AQ25" s="29">
        <v>3</v>
      </c>
      <c r="AR25" s="29">
        <v>2.4285714285714284</v>
      </c>
      <c r="AS25" s="25"/>
    </row>
    <row r="27" spans="1:45" s="22" customFormat="1" x14ac:dyDescent="0.35">
      <c r="A27" s="23" t="s">
        <v>228</v>
      </c>
      <c r="B27" s="41">
        <v>601.04999999999995</v>
      </c>
      <c r="C27" s="25"/>
    </row>
    <row r="28" spans="1:45" s="26" customFormat="1" x14ac:dyDescent="0.35">
      <c r="B28" s="42"/>
    </row>
    <row r="29" spans="1:45" s="22" customFormat="1" x14ac:dyDescent="0.35">
      <c r="A29" s="23" t="s">
        <v>229</v>
      </c>
      <c r="B29" s="41">
        <v>1671</v>
      </c>
      <c r="C29" s="25"/>
    </row>
    <row r="30" spans="1:45" s="26" customFormat="1" ht="14" customHeight="1" x14ac:dyDescent="0.35">
      <c r="B30" s="42"/>
    </row>
    <row r="31" spans="1:45" s="22" customFormat="1" x14ac:dyDescent="0.35">
      <c r="A31" s="23" t="s">
        <v>253</v>
      </c>
      <c r="B31" s="41">
        <v>-2260.5</v>
      </c>
      <c r="C31" s="25"/>
    </row>
    <row r="32" spans="1:45" s="26" customFormat="1" x14ac:dyDescent="0.35">
      <c r="B32" s="42"/>
    </row>
    <row r="33" spans="1:3" s="22" customFormat="1" x14ac:dyDescent="0.35">
      <c r="A33" s="23" t="s">
        <v>254</v>
      </c>
      <c r="B33" s="41">
        <v>-205.35</v>
      </c>
      <c r="C33" s="25"/>
    </row>
    <row r="34" spans="1:3" x14ac:dyDescent="0.35">
      <c r="B34" s="43"/>
    </row>
    <row r="35" spans="1:3" s="22" customFormat="1" x14ac:dyDescent="0.35">
      <c r="A35" s="23" t="s">
        <v>231</v>
      </c>
      <c r="B35" s="41">
        <v>-14365</v>
      </c>
      <c r="C35" s="25"/>
    </row>
    <row r="36" spans="1:3" s="26" customFormat="1" x14ac:dyDescent="0.35">
      <c r="B36" s="42"/>
    </row>
    <row r="37" spans="1:3" s="22" customFormat="1" x14ac:dyDescent="0.35">
      <c r="A37" s="23" t="s">
        <v>230</v>
      </c>
      <c r="B37" s="41">
        <v>-44237</v>
      </c>
      <c r="C37" s="25"/>
    </row>
    <row r="38" spans="1:3" x14ac:dyDescent="0.35">
      <c r="B38" s="43"/>
    </row>
    <row r="39" spans="1:3" s="22" customFormat="1" x14ac:dyDescent="0.35">
      <c r="A39" s="23" t="s">
        <v>255</v>
      </c>
      <c r="B39" s="41">
        <v>150152</v>
      </c>
      <c r="C39" s="25"/>
    </row>
    <row r="40" spans="1:3" s="26" customFormat="1" x14ac:dyDescent="0.35">
      <c r="B40" s="42"/>
    </row>
    <row r="41" spans="1:3" s="22" customFormat="1" x14ac:dyDescent="0.35">
      <c r="A41" s="23" t="s">
        <v>256</v>
      </c>
      <c r="B41" s="41">
        <v>21371</v>
      </c>
      <c r="C41" s="25"/>
    </row>
    <row r="42" spans="1:3" s="22" customFormat="1" x14ac:dyDescent="0.35">
      <c r="B42" s="43"/>
    </row>
    <row r="43" spans="1:3" s="22" customFormat="1" x14ac:dyDescent="0.35">
      <c r="A43" s="23" t="s">
        <v>234</v>
      </c>
      <c r="B43" s="41">
        <v>106.36</v>
      </c>
      <c r="C43" s="25"/>
    </row>
    <row r="44" spans="1:3" s="26" customFormat="1" x14ac:dyDescent="0.35">
      <c r="B44" s="42"/>
    </row>
    <row r="45" spans="1:3" s="22" customFormat="1" x14ac:dyDescent="0.35">
      <c r="A45" s="23" t="s">
        <v>235</v>
      </c>
      <c r="B45" s="41">
        <v>292</v>
      </c>
      <c r="C45" s="25"/>
    </row>
    <row r="46" spans="1:3" s="26" customFormat="1" x14ac:dyDescent="0.35">
      <c r="B46" s="42"/>
    </row>
    <row r="47" spans="1:3" s="22" customFormat="1" x14ac:dyDescent="0.35">
      <c r="A47" s="23" t="s">
        <v>257</v>
      </c>
      <c r="B47" s="41">
        <v>-399</v>
      </c>
      <c r="C47" s="25"/>
    </row>
    <row r="48" spans="1:3" s="26" customFormat="1" x14ac:dyDescent="0.35">
      <c r="B48" s="42"/>
    </row>
    <row r="49" spans="1:3" s="22" customFormat="1" x14ac:dyDescent="0.35">
      <c r="A49" s="23" t="s">
        <v>258</v>
      </c>
      <c r="B49" s="41">
        <v>-36.078000000000003</v>
      </c>
      <c r="C49" s="25"/>
    </row>
    <row r="50" spans="1:3" x14ac:dyDescent="0.35">
      <c r="B50" s="43"/>
    </row>
    <row r="51" spans="1:3" s="22" customFormat="1" x14ac:dyDescent="0.35">
      <c r="A51" s="23" t="s">
        <v>233</v>
      </c>
      <c r="B51" s="44">
        <v>-2546.1</v>
      </c>
      <c r="C51" s="25"/>
    </row>
    <row r="52" spans="1:3" s="26" customFormat="1" x14ac:dyDescent="0.35">
      <c r="B52" s="45"/>
    </row>
    <row r="53" spans="1:3" s="22" customFormat="1" x14ac:dyDescent="0.35">
      <c r="A53" s="23" t="s">
        <v>232</v>
      </c>
      <c r="B53" s="48">
        <v>-7557</v>
      </c>
      <c r="C53" s="25"/>
    </row>
    <row r="54" spans="1:3" s="26" customFormat="1" x14ac:dyDescent="0.35">
      <c r="B54" s="45"/>
    </row>
    <row r="55" spans="1:3" s="22" customFormat="1" x14ac:dyDescent="0.35">
      <c r="A55" s="23" t="s">
        <v>259</v>
      </c>
      <c r="B55" s="44">
        <v>26502</v>
      </c>
      <c r="C55" s="25"/>
    </row>
    <row r="56" spans="1:3" s="26" customFormat="1" x14ac:dyDescent="0.35">
      <c r="B56" s="45"/>
    </row>
    <row r="57" spans="1:3" s="22" customFormat="1" x14ac:dyDescent="0.35">
      <c r="A57" s="23" t="s">
        <v>260</v>
      </c>
      <c r="B57" s="44">
        <v>3763.1</v>
      </c>
      <c r="C57" s="25"/>
    </row>
    <row r="59" spans="1:3" x14ac:dyDescent="0.35">
      <c r="A59" s="1" t="s">
        <v>84</v>
      </c>
      <c r="B59" s="41">
        <v>0.1</v>
      </c>
      <c r="C59" s="3"/>
    </row>
    <row r="61" spans="1:3" x14ac:dyDescent="0.35">
      <c r="A61" s="1" t="s">
        <v>85</v>
      </c>
      <c r="B61" s="41">
        <v>448.27</v>
      </c>
      <c r="C61" s="3" t="s">
        <v>87</v>
      </c>
    </row>
    <row r="63" spans="1:3" x14ac:dyDescent="0.35">
      <c r="A63" s="1" t="s">
        <v>86</v>
      </c>
      <c r="B63" s="41">
        <v>126.03</v>
      </c>
      <c r="C63" s="3" t="s">
        <v>87</v>
      </c>
    </row>
    <row r="65" spans="1:3" x14ac:dyDescent="0.35">
      <c r="A65" s="23" t="s">
        <v>336</v>
      </c>
      <c r="B65" s="41">
        <v>0.6</v>
      </c>
      <c r="C65" s="25"/>
    </row>
    <row r="66" spans="1:3" x14ac:dyDescent="0.35">
      <c r="B66" s="4"/>
      <c r="C66" s="4"/>
    </row>
    <row r="67" spans="1:3" s="22" customFormat="1" x14ac:dyDescent="0.35">
      <c r="A67" s="23" t="s">
        <v>337</v>
      </c>
      <c r="B67" s="24">
        <v>3168</v>
      </c>
      <c r="C67" s="25" t="s">
        <v>338</v>
      </c>
    </row>
    <row r="68" spans="1:3" s="22" customFormat="1" x14ac:dyDescent="0.35"/>
    <row r="69" spans="1:3" s="22" customFormat="1" x14ac:dyDescent="0.35">
      <c r="A69" s="23" t="s">
        <v>339</v>
      </c>
      <c r="B69" s="24">
        <v>0.15</v>
      </c>
      <c r="C69" s="25"/>
    </row>
    <row r="70" spans="1:3" s="22" customFormat="1" x14ac:dyDescent="0.35"/>
    <row r="71" spans="1:3" s="22" customFormat="1" x14ac:dyDescent="0.35">
      <c r="A71" s="23" t="s">
        <v>340</v>
      </c>
      <c r="B71" s="24">
        <v>0.01</v>
      </c>
      <c r="C71" s="25"/>
    </row>
    <row r="72" spans="1:3" s="22" customFormat="1" x14ac:dyDescent="0.35"/>
    <row r="73" spans="1:3" s="22" customFormat="1" x14ac:dyDescent="0.35">
      <c r="A73" s="23" t="s">
        <v>341</v>
      </c>
      <c r="B73" s="24">
        <v>2</v>
      </c>
      <c r="C73" s="25" t="s">
        <v>342</v>
      </c>
    </row>
    <row r="74" spans="1:3" s="22" customFormat="1" x14ac:dyDescent="0.35"/>
    <row r="75" spans="1:3" s="22" customFormat="1" x14ac:dyDescent="0.35">
      <c r="A75" s="23" t="s">
        <v>343</v>
      </c>
      <c r="B75" s="24">
        <v>1</v>
      </c>
      <c r="C75" s="2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33B6-AFBA-4E85-9DA2-EDB8853C9CF1}">
  <dimension ref="A2:AS29"/>
  <sheetViews>
    <sheetView workbookViewId="0">
      <selection activeCell="B5" sqref="B5"/>
    </sheetView>
  </sheetViews>
  <sheetFormatPr baseColWidth="10" defaultRowHeight="14.5" x14ac:dyDescent="0.35"/>
  <cols>
    <col min="1" max="1" width="40.90625" customWidth="1"/>
    <col min="2" max="2" width="14.453125" customWidth="1"/>
  </cols>
  <sheetData>
    <row r="2" spans="1:45" x14ac:dyDescent="0.35">
      <c r="A2" s="1" t="s">
        <v>104</v>
      </c>
      <c r="B2" s="8">
        <v>2018</v>
      </c>
      <c r="C2" s="8">
        <v>2019</v>
      </c>
      <c r="D2" s="8">
        <v>2020</v>
      </c>
      <c r="E2" s="8">
        <v>2021</v>
      </c>
      <c r="F2" s="8">
        <v>2022</v>
      </c>
      <c r="G2" s="8">
        <v>2023</v>
      </c>
      <c r="H2" s="8">
        <v>2024</v>
      </c>
      <c r="I2" s="8">
        <v>2025</v>
      </c>
      <c r="J2" s="8">
        <v>2026</v>
      </c>
      <c r="K2" s="8">
        <v>2027</v>
      </c>
      <c r="L2" s="8">
        <v>2028</v>
      </c>
      <c r="M2" s="8">
        <v>2029</v>
      </c>
      <c r="N2" s="8">
        <v>2030</v>
      </c>
      <c r="O2" s="8">
        <v>2031</v>
      </c>
      <c r="P2" s="8">
        <v>2032</v>
      </c>
      <c r="Q2" s="8">
        <v>2033</v>
      </c>
      <c r="R2" s="8">
        <v>2034</v>
      </c>
      <c r="S2" s="8">
        <v>2035</v>
      </c>
      <c r="T2" s="8">
        <v>2036</v>
      </c>
      <c r="U2" s="8">
        <v>2037</v>
      </c>
      <c r="V2" s="8">
        <v>2038</v>
      </c>
      <c r="W2" s="8">
        <v>2039</v>
      </c>
      <c r="X2" s="8">
        <v>2040</v>
      </c>
      <c r="Y2" s="8">
        <v>2041</v>
      </c>
      <c r="Z2" s="8">
        <v>2042</v>
      </c>
      <c r="AA2" s="8">
        <v>2043</v>
      </c>
      <c r="AB2" s="8">
        <v>2044</v>
      </c>
      <c r="AC2" s="8">
        <v>2045</v>
      </c>
      <c r="AD2" s="8">
        <v>2046</v>
      </c>
      <c r="AE2" s="8">
        <v>2047</v>
      </c>
      <c r="AF2" s="8">
        <v>2048</v>
      </c>
      <c r="AG2" s="8">
        <v>2049</v>
      </c>
      <c r="AH2" s="8">
        <v>2050</v>
      </c>
      <c r="AI2" s="8">
        <v>2051</v>
      </c>
      <c r="AJ2" s="8">
        <v>2052</v>
      </c>
      <c r="AK2" s="8">
        <v>2053</v>
      </c>
      <c r="AL2" s="8">
        <v>2054</v>
      </c>
      <c r="AM2" s="8">
        <v>2055</v>
      </c>
      <c r="AN2" s="8">
        <v>2056</v>
      </c>
      <c r="AO2" s="8">
        <v>2057</v>
      </c>
      <c r="AP2" s="8">
        <v>2058</v>
      </c>
      <c r="AQ2" s="8">
        <v>2059</v>
      </c>
      <c r="AR2" s="8">
        <v>2060</v>
      </c>
      <c r="AS2" s="3" t="s">
        <v>39</v>
      </c>
    </row>
    <row r="3" spans="1:45" x14ac:dyDescent="0.35">
      <c r="A3" s="1" t="s">
        <v>88</v>
      </c>
      <c r="B3" s="2">
        <v>413.79899999999998</v>
      </c>
      <c r="C3" s="2">
        <v>416.30799999999999</v>
      </c>
      <c r="D3" s="2">
        <v>418.827</v>
      </c>
      <c r="E3" s="2">
        <v>421.39800000000002</v>
      </c>
      <c r="F3" s="2">
        <v>424.012</v>
      </c>
      <c r="G3" s="2">
        <v>426.654</v>
      </c>
      <c r="H3" s="2">
        <v>429.32799999999997</v>
      </c>
      <c r="I3" s="2">
        <v>432.036</v>
      </c>
      <c r="J3" s="2">
        <v>434.78300000000002</v>
      </c>
      <c r="K3" s="2">
        <v>437.55099999999999</v>
      </c>
      <c r="L3" s="2">
        <v>440.33</v>
      </c>
      <c r="M3" s="2">
        <v>443.14600000000002</v>
      </c>
      <c r="N3" s="2">
        <v>445.988</v>
      </c>
      <c r="O3" s="2">
        <v>448.846</v>
      </c>
      <c r="P3" s="2">
        <v>451.74</v>
      </c>
      <c r="Q3" s="2">
        <v>454.67099999999999</v>
      </c>
      <c r="R3" s="2">
        <v>457.63900000000001</v>
      </c>
      <c r="S3" s="2">
        <v>460.64699999999999</v>
      </c>
      <c r="T3" s="2">
        <v>463.69400000000002</v>
      </c>
      <c r="U3" s="2">
        <v>466.77600000000001</v>
      </c>
      <c r="V3" s="2">
        <v>469.839</v>
      </c>
      <c r="W3" s="2">
        <v>472.88799999999998</v>
      </c>
      <c r="X3" s="2">
        <v>475.87900000000002</v>
      </c>
      <c r="Y3" s="2">
        <v>478.85700000000003</v>
      </c>
      <c r="Z3" s="2">
        <v>481.82499999999999</v>
      </c>
      <c r="AA3" s="2">
        <v>484.78699999999998</v>
      </c>
      <c r="AB3" s="2">
        <v>487.74400000000003</v>
      </c>
      <c r="AC3" s="2">
        <v>490.697</v>
      </c>
      <c r="AD3" s="2">
        <v>493.66399999999999</v>
      </c>
      <c r="AE3" s="2">
        <v>496.62700000000001</v>
      </c>
      <c r="AF3" s="2">
        <v>499.54</v>
      </c>
      <c r="AG3" s="2">
        <v>502.45499999999998</v>
      </c>
      <c r="AH3" s="2">
        <v>505.375</v>
      </c>
      <c r="AI3" s="2">
        <v>507.31569999999999</v>
      </c>
      <c r="AJ3" s="2">
        <v>509.25639999999999</v>
      </c>
      <c r="AK3" s="2">
        <v>511.19709999999998</v>
      </c>
      <c r="AL3" s="2">
        <v>513.13779999999997</v>
      </c>
      <c r="AM3" s="2">
        <v>515.07849999999996</v>
      </c>
      <c r="AN3" s="2">
        <v>517.01919999999996</v>
      </c>
      <c r="AO3" s="2">
        <v>518.95989999999995</v>
      </c>
      <c r="AP3" s="2">
        <v>520.90059999999994</v>
      </c>
      <c r="AQ3" s="2">
        <v>522.84129999999993</v>
      </c>
      <c r="AR3" s="2">
        <v>524.78199999999993</v>
      </c>
      <c r="AS3" s="3" t="s">
        <v>102</v>
      </c>
    </row>
    <row r="5" spans="1:45" x14ac:dyDescent="0.35">
      <c r="A5" s="1" t="s">
        <v>89</v>
      </c>
      <c r="B5" s="2">
        <v>12.542571366717638</v>
      </c>
      <c r="C5" s="3" t="s">
        <v>92</v>
      </c>
    </row>
    <row r="7" spans="1:45" x14ac:dyDescent="0.35">
      <c r="A7" s="1" t="s">
        <v>90</v>
      </c>
      <c r="B7" s="2">
        <v>406.75</v>
      </c>
      <c r="C7" s="3" t="s">
        <v>102</v>
      </c>
    </row>
    <row r="9" spans="1:45" x14ac:dyDescent="0.35">
      <c r="A9" s="1" t="s">
        <v>208</v>
      </c>
      <c r="B9" s="2">
        <v>0.34</v>
      </c>
      <c r="C9" s="3"/>
    </row>
    <row r="10" spans="1:45" s="4" customFormat="1" x14ac:dyDescent="0.35"/>
    <row r="11" spans="1:45" x14ac:dyDescent="0.35">
      <c r="A11" s="1" t="s">
        <v>207</v>
      </c>
      <c r="B11" s="2">
        <v>0.66</v>
      </c>
      <c r="C11" s="3"/>
    </row>
    <row r="12" spans="1:45" s="4" customFormat="1" x14ac:dyDescent="0.35"/>
    <row r="13" spans="1:45" x14ac:dyDescent="0.35">
      <c r="A13" s="1" t="s">
        <v>206</v>
      </c>
      <c r="B13" s="2">
        <v>0</v>
      </c>
      <c r="C13" s="3"/>
    </row>
    <row r="14" spans="1:45" s="4" customFormat="1" x14ac:dyDescent="0.35"/>
    <row r="15" spans="1:45" x14ac:dyDescent="0.35">
      <c r="A15" s="1" t="s">
        <v>205</v>
      </c>
      <c r="B15" s="2">
        <v>0</v>
      </c>
      <c r="C15" s="3"/>
    </row>
    <row r="16" spans="1:45" s="4" customFormat="1" x14ac:dyDescent="0.35"/>
    <row r="17" spans="1:4" s="22" customFormat="1" x14ac:dyDescent="0.35">
      <c r="A17" s="23" t="s">
        <v>261</v>
      </c>
      <c r="B17" s="24">
        <v>0</v>
      </c>
      <c r="C17" s="25"/>
    </row>
    <row r="18" spans="1:4" s="4" customFormat="1" x14ac:dyDescent="0.35"/>
    <row r="19" spans="1:4" x14ac:dyDescent="0.35">
      <c r="A19" s="1" t="s">
        <v>91</v>
      </c>
      <c r="B19" s="30">
        <v>2844801.38</v>
      </c>
      <c r="C19" s="3" t="s">
        <v>103</v>
      </c>
    </row>
    <row r="21" spans="1:4" x14ac:dyDescent="0.35">
      <c r="A21" s="1" t="s">
        <v>105</v>
      </c>
      <c r="B21" s="2">
        <v>1.0000000000000001E-5</v>
      </c>
      <c r="C21" s="3"/>
    </row>
    <row r="23" spans="1:4" x14ac:dyDescent="0.35">
      <c r="A23" s="1" t="s">
        <v>209</v>
      </c>
      <c r="B23" s="2">
        <v>100</v>
      </c>
      <c r="C23" s="3"/>
    </row>
    <row r="25" spans="1:4" x14ac:dyDescent="0.35">
      <c r="A25" s="1" t="s">
        <v>210</v>
      </c>
      <c r="B25" s="2">
        <v>0.48</v>
      </c>
      <c r="C25" s="3"/>
    </row>
    <row r="27" spans="1:4" x14ac:dyDescent="0.35">
      <c r="A27" s="1" t="s">
        <v>211</v>
      </c>
      <c r="B27" s="2">
        <v>1E-3</v>
      </c>
      <c r="C27" s="3"/>
    </row>
    <row r="29" spans="1:4" x14ac:dyDescent="0.35">
      <c r="A29" s="1" t="s">
        <v>212</v>
      </c>
      <c r="B29" s="2">
        <v>9.9999999999999995E-7</v>
      </c>
      <c r="C29" s="3"/>
      <c r="D29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6950-2A51-4E2F-A1EB-C90C6EFF69CE}">
  <dimension ref="A2:AS141"/>
  <sheetViews>
    <sheetView topLeftCell="A79" workbookViewId="0">
      <selection activeCell="B87" sqref="B87"/>
    </sheetView>
  </sheetViews>
  <sheetFormatPr baseColWidth="10" defaultRowHeight="14.5" x14ac:dyDescent="0.35"/>
  <cols>
    <col min="1" max="1" width="47.6328125" customWidth="1"/>
    <col min="2" max="2" width="11.7265625" bestFit="1" customWidth="1"/>
  </cols>
  <sheetData>
    <row r="2" spans="1:45" x14ac:dyDescent="0.35">
      <c r="A2" s="1" t="s">
        <v>144</v>
      </c>
      <c r="B2" s="8">
        <v>2018</v>
      </c>
      <c r="C2" s="8">
        <v>2019</v>
      </c>
      <c r="D2" s="8">
        <v>2020</v>
      </c>
      <c r="E2" s="8">
        <v>2021</v>
      </c>
      <c r="F2" s="8">
        <v>2022</v>
      </c>
      <c r="G2" s="8">
        <v>2023</v>
      </c>
      <c r="H2" s="8">
        <v>2024</v>
      </c>
      <c r="I2" s="8">
        <v>2025</v>
      </c>
      <c r="J2" s="8">
        <v>2026</v>
      </c>
      <c r="K2" s="8">
        <v>2027</v>
      </c>
      <c r="L2" s="8">
        <v>2028</v>
      </c>
      <c r="M2" s="8">
        <v>2029</v>
      </c>
      <c r="N2" s="8">
        <v>2030</v>
      </c>
      <c r="O2" s="8">
        <v>2031</v>
      </c>
      <c r="P2" s="8">
        <v>2032</v>
      </c>
      <c r="Q2" s="8">
        <v>2033</v>
      </c>
      <c r="R2" s="8">
        <v>2034</v>
      </c>
      <c r="S2" s="8">
        <v>2035</v>
      </c>
      <c r="T2" s="8">
        <v>2036</v>
      </c>
      <c r="U2" s="8">
        <v>2037</v>
      </c>
      <c r="V2" s="8">
        <v>2038</v>
      </c>
      <c r="W2" s="8">
        <v>2039</v>
      </c>
      <c r="X2" s="8">
        <v>2040</v>
      </c>
      <c r="Y2" s="8">
        <v>2041</v>
      </c>
      <c r="Z2" s="8">
        <v>2042</v>
      </c>
      <c r="AA2" s="8">
        <v>2043</v>
      </c>
      <c r="AB2" s="8">
        <v>2044</v>
      </c>
      <c r="AC2" s="8">
        <v>2045</v>
      </c>
      <c r="AD2" s="8">
        <v>2046</v>
      </c>
      <c r="AE2" s="8">
        <v>2047</v>
      </c>
      <c r="AF2" s="8">
        <v>2048</v>
      </c>
      <c r="AG2" s="8">
        <v>2049</v>
      </c>
      <c r="AH2" s="8">
        <v>2050</v>
      </c>
      <c r="AI2" s="8">
        <v>2051</v>
      </c>
      <c r="AJ2" s="8">
        <v>2052</v>
      </c>
      <c r="AK2" s="8">
        <v>2053</v>
      </c>
      <c r="AL2" s="8">
        <v>2054</v>
      </c>
      <c r="AM2" s="8">
        <v>2055</v>
      </c>
      <c r="AN2" s="8">
        <v>2056</v>
      </c>
      <c r="AO2" s="8">
        <v>2057</v>
      </c>
      <c r="AP2" s="8">
        <v>2058</v>
      </c>
      <c r="AQ2" s="8">
        <v>2059</v>
      </c>
      <c r="AR2" s="8">
        <v>2060</v>
      </c>
      <c r="AS2" s="3" t="s">
        <v>39</v>
      </c>
    </row>
    <row r="3" spans="1:45" x14ac:dyDescent="0.35">
      <c r="A3" s="8" t="s">
        <v>73</v>
      </c>
      <c r="B3" s="6">
        <v>12.965962315685349</v>
      </c>
      <c r="C3" s="6">
        <v>12.61610167777582</v>
      </c>
      <c r="D3" s="6">
        <v>13.76202737428207</v>
      </c>
      <c r="E3" s="6">
        <v>13.55325230495102</v>
      </c>
      <c r="F3" s="6">
        <v>13.81088081923062</v>
      </c>
      <c r="G3" s="7">
        <v>14.22735441792986</v>
      </c>
      <c r="H3" s="7">
        <v>13.67147347131832</v>
      </c>
      <c r="I3" s="7">
        <v>13.85711525743333</v>
      </c>
      <c r="J3" s="7">
        <v>14.20174418663831</v>
      </c>
      <c r="K3" s="7">
        <v>13.32123680843857</v>
      </c>
      <c r="L3" s="7">
        <v>13.381278906559089</v>
      </c>
      <c r="M3" s="7">
        <v>14.38171304927868</v>
      </c>
      <c r="N3" s="7">
        <v>14.85409206966651</v>
      </c>
      <c r="O3" s="7">
        <v>14.73292007797648</v>
      </c>
      <c r="P3" s="7">
        <v>12.761778809295039</v>
      </c>
      <c r="Q3" s="7">
        <v>14.362785450494361</v>
      </c>
      <c r="R3" s="7">
        <v>13.97715630998902</v>
      </c>
      <c r="S3" s="7">
        <v>14.650509822115639</v>
      </c>
      <c r="T3" s="7">
        <v>14.00675993023741</v>
      </c>
      <c r="U3" s="7">
        <v>13.73008605225683</v>
      </c>
      <c r="V3" s="7">
        <v>14.70117673169249</v>
      </c>
      <c r="W3" s="7">
        <v>15.933912009911261</v>
      </c>
      <c r="X3" s="7">
        <v>14.56441649527509</v>
      </c>
      <c r="Y3" s="7">
        <v>13.1758716496345</v>
      </c>
      <c r="Z3" s="7">
        <v>14.392585453269019</v>
      </c>
      <c r="AA3" s="7">
        <v>15.587032319381519</v>
      </c>
      <c r="AB3" s="7">
        <v>13.454298490815271</v>
      </c>
      <c r="AC3" s="7">
        <v>15.329267513978319</v>
      </c>
      <c r="AD3" s="7">
        <v>14.43802375810106</v>
      </c>
      <c r="AE3" s="7">
        <v>14.240059978943879</v>
      </c>
      <c r="AF3" s="7">
        <v>14.894889780472329</v>
      </c>
      <c r="AG3" s="7">
        <v>15.45237467216621</v>
      </c>
      <c r="AH3" s="7">
        <v>14.793290863960211</v>
      </c>
      <c r="AI3" s="7">
        <v>15.316911603422151</v>
      </c>
      <c r="AJ3" s="7">
        <v>13.58341460761987</v>
      </c>
      <c r="AK3" s="7">
        <v>15.20981124995641</v>
      </c>
      <c r="AL3" s="7">
        <v>15.13945131327411</v>
      </c>
      <c r="AM3" s="7">
        <v>14.582914378574261</v>
      </c>
      <c r="AN3" s="7">
        <v>15.05508775665866</v>
      </c>
      <c r="AO3" s="7">
        <v>14.357556313376911</v>
      </c>
      <c r="AP3" s="7">
        <v>15.81598776307988</v>
      </c>
      <c r="AQ3" s="7">
        <v>14.917773211144469</v>
      </c>
      <c r="AR3" s="7">
        <v>14.98334934158237</v>
      </c>
      <c r="AS3" s="10" t="s">
        <v>92</v>
      </c>
    </row>
    <row r="4" spans="1:45" x14ac:dyDescent="0.35">
      <c r="A4" s="8" t="s">
        <v>74</v>
      </c>
      <c r="B4" s="6">
        <v>8.2506959872363836</v>
      </c>
      <c r="C4" s="6">
        <v>6.5728271412370587</v>
      </c>
      <c r="D4" s="6">
        <v>8.6393204187340977</v>
      </c>
      <c r="E4" s="6">
        <v>8.6700290347748759</v>
      </c>
      <c r="F4" s="6">
        <v>8.838876181725098</v>
      </c>
      <c r="G4" s="7">
        <v>8.531956752278365</v>
      </c>
      <c r="H4" s="7">
        <v>8.6487755747498056</v>
      </c>
      <c r="I4" s="7">
        <v>8.8822652376658677</v>
      </c>
      <c r="J4" s="7">
        <v>6.3628251756157388</v>
      </c>
      <c r="K4" s="7">
        <v>7.0803470998560174</v>
      </c>
      <c r="L4" s="7">
        <v>7.875220614915948</v>
      </c>
      <c r="M4" s="7">
        <v>6.4745729211349801</v>
      </c>
      <c r="N4" s="7">
        <v>9.1192366518243198</v>
      </c>
      <c r="O4" s="7">
        <v>9.1759895005405347</v>
      </c>
      <c r="P4" s="7">
        <v>8.712808225043716</v>
      </c>
      <c r="Q4" s="7">
        <v>8.26812016659132</v>
      </c>
      <c r="R4" s="7">
        <v>8.2392230140534402</v>
      </c>
      <c r="S4" s="7">
        <v>8.3185244950771473</v>
      </c>
      <c r="T4" s="7">
        <v>7.3722638054414862</v>
      </c>
      <c r="U4" s="7">
        <v>7.987314243808286</v>
      </c>
      <c r="V4" s="7">
        <v>9.6352336702105408</v>
      </c>
      <c r="W4" s="7">
        <v>9.4529391375769887</v>
      </c>
      <c r="X4" s="7">
        <v>9.1981217147834879</v>
      </c>
      <c r="Y4" s="7">
        <v>8.4961529007641126</v>
      </c>
      <c r="Z4" s="7">
        <v>8.6740040230789432</v>
      </c>
      <c r="AA4" s="7">
        <v>9.6715970891848446</v>
      </c>
      <c r="AB4" s="7">
        <v>9.3068148308729199</v>
      </c>
      <c r="AC4" s="7">
        <v>9.8163869512974955</v>
      </c>
      <c r="AD4" s="7">
        <v>9.7426075255700741</v>
      </c>
      <c r="AE4" s="7">
        <v>9.6450835163360846</v>
      </c>
      <c r="AF4" s="7">
        <v>8.1924757651846924</v>
      </c>
      <c r="AG4" s="7">
        <v>8.0554883439758278</v>
      </c>
      <c r="AH4" s="7">
        <v>8.4925586554082457</v>
      </c>
      <c r="AI4" s="7">
        <v>7.8717954316993417</v>
      </c>
      <c r="AJ4" s="7">
        <v>9.3882290706779088</v>
      </c>
      <c r="AK4" s="7">
        <v>9.167932945599798</v>
      </c>
      <c r="AL4" s="7">
        <v>8.8186532223375966</v>
      </c>
      <c r="AM4" s="7">
        <v>7.7507064079265744</v>
      </c>
      <c r="AN4" s="7">
        <v>9.4038813344138443</v>
      </c>
      <c r="AO4" s="7">
        <v>9.8016875695739341</v>
      </c>
      <c r="AP4" s="7">
        <v>8.6043372127404183</v>
      </c>
      <c r="AQ4" s="7">
        <v>10.032997381350629</v>
      </c>
      <c r="AR4" s="7">
        <v>9.7223339339744772</v>
      </c>
      <c r="AS4" s="10" t="s">
        <v>92</v>
      </c>
    </row>
    <row r="5" spans="1:45" x14ac:dyDescent="0.35">
      <c r="A5" s="8" t="s">
        <v>75</v>
      </c>
      <c r="B5" s="6">
        <v>2.8146534744414549</v>
      </c>
      <c r="C5" s="6">
        <v>1.7305090922319679</v>
      </c>
      <c r="D5" s="6">
        <v>4.1602000039574571</v>
      </c>
      <c r="E5" s="6">
        <v>3.3363508231309651</v>
      </c>
      <c r="F5" s="6">
        <v>4.9365162277073056</v>
      </c>
      <c r="G5" s="7">
        <v>2.3980079799815859</v>
      </c>
      <c r="H5" s="7">
        <v>2.6492741004217102</v>
      </c>
      <c r="I5" s="7">
        <v>4.7912600094529543</v>
      </c>
      <c r="J5" s="7">
        <v>3.6476546908667742</v>
      </c>
      <c r="K5" s="7">
        <v>2.7725629846834021</v>
      </c>
      <c r="L5" s="7">
        <v>3.224971336785746</v>
      </c>
      <c r="M5" s="7">
        <v>3.1069294573114248</v>
      </c>
      <c r="N5" s="7">
        <v>3.698185112980823</v>
      </c>
      <c r="O5" s="7">
        <v>2.449169841556083</v>
      </c>
      <c r="P5" s="7">
        <v>3.6664158697506051</v>
      </c>
      <c r="Q5" s="7">
        <v>2.9885694557586562</v>
      </c>
      <c r="R5" s="7">
        <v>3.892073065761656</v>
      </c>
      <c r="S5" s="7">
        <v>3.2645823950644872</v>
      </c>
      <c r="T5" s="7">
        <v>4.4352940182985456</v>
      </c>
      <c r="U5" s="7">
        <v>3.5417574328259902</v>
      </c>
      <c r="V5" s="7">
        <v>3.979400375526533</v>
      </c>
      <c r="W5" s="7">
        <v>3.3144164522779178</v>
      </c>
      <c r="X5" s="7">
        <v>4.1538506112646418</v>
      </c>
      <c r="Y5" s="7">
        <v>4.3972088803327347</v>
      </c>
      <c r="Z5" s="7">
        <v>2.124121006040411</v>
      </c>
      <c r="AA5" s="7">
        <v>3.2242299517570872</v>
      </c>
      <c r="AB5" s="7">
        <v>3.9964073271433311</v>
      </c>
      <c r="AC5" s="7">
        <v>3.3055330340950611</v>
      </c>
      <c r="AD5" s="7">
        <v>3.708427349375861</v>
      </c>
      <c r="AE5" s="7">
        <v>4.2654960327616518</v>
      </c>
      <c r="AF5" s="7">
        <v>3.151688890000766</v>
      </c>
      <c r="AG5" s="7">
        <v>5.0440966935014426</v>
      </c>
      <c r="AH5" s="7">
        <v>4.4536058698310699</v>
      </c>
      <c r="AI5" s="7">
        <v>5.1469374406625139</v>
      </c>
      <c r="AJ5" s="7">
        <v>4.2068420670293092</v>
      </c>
      <c r="AK5" s="7">
        <v>4.2285891908789903</v>
      </c>
      <c r="AL5" s="7">
        <v>5.0414872313168768</v>
      </c>
      <c r="AM5" s="7">
        <v>4.4549951757014146</v>
      </c>
      <c r="AN5" s="7">
        <v>4.0630114446691126</v>
      </c>
      <c r="AO5" s="7">
        <v>4.0756660005814256</v>
      </c>
      <c r="AP5" s="7">
        <v>5.0279263437209449</v>
      </c>
      <c r="AQ5" s="7">
        <v>3.9344349910039278</v>
      </c>
      <c r="AR5" s="7">
        <v>5.1802170507914242</v>
      </c>
      <c r="AS5" s="10" t="s">
        <v>92</v>
      </c>
    </row>
    <row r="6" spans="1:45" x14ac:dyDescent="0.35">
      <c r="A6" s="8" t="s">
        <v>64</v>
      </c>
      <c r="B6" s="6">
        <v>8.8685944973135755E-2</v>
      </c>
      <c r="C6" s="6">
        <v>0.96160112170385859</v>
      </c>
      <c r="D6" s="6">
        <v>0.45272444646202048</v>
      </c>
      <c r="E6" s="6">
        <v>1.718568276288964</v>
      </c>
      <c r="F6" s="6">
        <v>1.163875823304328</v>
      </c>
      <c r="G6" s="7">
        <v>2.1812065191165408</v>
      </c>
      <c r="H6" s="7">
        <v>0.4487323579098258</v>
      </c>
      <c r="I6" s="7">
        <v>1.1128874359660961</v>
      </c>
      <c r="J6" s="7">
        <v>1.8196021459148211</v>
      </c>
      <c r="K6" s="7">
        <v>1.9961928980924359</v>
      </c>
      <c r="L6" s="7">
        <v>2.291766818398778</v>
      </c>
      <c r="M6" s="7">
        <v>1.258285176072691</v>
      </c>
      <c r="N6" s="7">
        <v>2.5345938096873728</v>
      </c>
      <c r="O6" s="7">
        <v>2.8785064534500662</v>
      </c>
      <c r="P6" s="7">
        <v>2.4091894438518482</v>
      </c>
      <c r="Q6" s="7">
        <v>3.4419638908635481</v>
      </c>
      <c r="R6" s="7">
        <v>1.829004751367169</v>
      </c>
      <c r="S6" s="7">
        <v>2.9650886355032089</v>
      </c>
      <c r="T6" s="7">
        <v>3.7250127369067769</v>
      </c>
      <c r="U6" s="7">
        <v>3.9333900324886222</v>
      </c>
      <c r="V6" s="7">
        <v>1.421750079607303</v>
      </c>
      <c r="W6" s="7">
        <v>3.153919067299948</v>
      </c>
      <c r="X6" s="7">
        <v>2.451482913031692</v>
      </c>
      <c r="Y6" s="7">
        <v>3.7331213021658369</v>
      </c>
      <c r="Z6" s="7">
        <v>2.6593751109331629</v>
      </c>
      <c r="AA6" s="7">
        <v>1.326071374574936</v>
      </c>
      <c r="AB6" s="7">
        <v>2.3458579993777788</v>
      </c>
      <c r="AC6" s="7">
        <v>1.7034649614420281</v>
      </c>
      <c r="AD6" s="7">
        <v>2.6435348297569208</v>
      </c>
      <c r="AE6" s="7">
        <v>2.05466524923433</v>
      </c>
      <c r="AF6" s="7">
        <v>2.6613876481996921</v>
      </c>
      <c r="AG6" s="7">
        <v>1.2954464136468999</v>
      </c>
      <c r="AH6" s="7">
        <v>3.074130768261325</v>
      </c>
      <c r="AI6" s="7">
        <v>3.4209729470748669</v>
      </c>
      <c r="AJ6" s="7">
        <v>3.7434547430187148</v>
      </c>
      <c r="AK6" s="7">
        <v>2.8192000066320149</v>
      </c>
      <c r="AL6" s="7">
        <v>4.0759568033588014</v>
      </c>
      <c r="AM6" s="7">
        <v>3.1783140983962879</v>
      </c>
      <c r="AN6" s="7">
        <v>1.7970597978067799</v>
      </c>
      <c r="AO6" s="7">
        <v>2.4669116008441692</v>
      </c>
      <c r="AP6" s="7">
        <v>2.6683255872760041</v>
      </c>
      <c r="AQ6" s="7">
        <v>3.9824211132943428</v>
      </c>
      <c r="AR6" s="7">
        <v>4.0270567056437736</v>
      </c>
      <c r="AS6" s="10" t="s">
        <v>92</v>
      </c>
    </row>
    <row r="7" spans="1:45" x14ac:dyDescent="0.35">
      <c r="A7" s="8" t="s">
        <v>65</v>
      </c>
      <c r="B7" s="6">
        <v>1.442760485199452</v>
      </c>
      <c r="C7" s="6">
        <v>2.1237211271993459</v>
      </c>
      <c r="D7" s="6">
        <v>3.2486524645060211</v>
      </c>
      <c r="E7" s="6">
        <v>1.8668574490446701</v>
      </c>
      <c r="F7" s="6">
        <v>2.969134883060494</v>
      </c>
      <c r="G7" s="7">
        <v>2.0194900268170679</v>
      </c>
      <c r="H7" s="7">
        <v>0.578479076037409</v>
      </c>
      <c r="I7" s="7">
        <v>1.7770295810330501</v>
      </c>
      <c r="J7" s="7">
        <v>3.297319794964038</v>
      </c>
      <c r="K7" s="7">
        <v>1.990132188279601</v>
      </c>
      <c r="L7" s="7">
        <v>3.209733566103298</v>
      </c>
      <c r="M7" s="7">
        <v>2.118456361164947</v>
      </c>
      <c r="N7" s="7">
        <v>2.1640981899947098</v>
      </c>
      <c r="O7" s="7">
        <v>3.1250590494494972</v>
      </c>
      <c r="P7" s="7">
        <v>4.0126730168750901</v>
      </c>
      <c r="Q7" s="7">
        <v>2.9515806444223358</v>
      </c>
      <c r="R7" s="7">
        <v>3.327652289379214</v>
      </c>
      <c r="S7" s="7">
        <v>3.4863023817100829</v>
      </c>
      <c r="T7" s="7">
        <v>3.9765797722241421</v>
      </c>
      <c r="U7" s="7">
        <v>3.0063365940127191</v>
      </c>
      <c r="V7" s="7">
        <v>3.5051713793585551</v>
      </c>
      <c r="W7" s="7">
        <v>2.093379347793217</v>
      </c>
      <c r="X7" s="7">
        <v>3.7367288079478271</v>
      </c>
      <c r="Y7" s="7">
        <v>4.1324895357081761</v>
      </c>
      <c r="Z7" s="7">
        <v>3.1637773784609369</v>
      </c>
      <c r="AA7" s="7">
        <v>1.704357907524171</v>
      </c>
      <c r="AB7" s="7">
        <v>3.3725003038634598</v>
      </c>
      <c r="AC7" s="7">
        <v>2.0927855812546512</v>
      </c>
      <c r="AD7" s="7">
        <v>2.089944311649691</v>
      </c>
      <c r="AE7" s="7">
        <v>2.836669867659896</v>
      </c>
      <c r="AF7" s="7">
        <v>4.5590430565415589</v>
      </c>
      <c r="AG7" s="7">
        <v>3.8176918083970341</v>
      </c>
      <c r="AH7" s="7">
        <v>4.0827518419825788</v>
      </c>
      <c r="AI7" s="7">
        <v>3.4026904590535549</v>
      </c>
      <c r="AJ7" s="7">
        <v>2.29086950855186</v>
      </c>
      <c r="AK7" s="7">
        <v>3.613584914494687</v>
      </c>
      <c r="AL7" s="7">
        <v>4.3954797179447933</v>
      </c>
      <c r="AM7" s="7">
        <v>3.5498125785606511</v>
      </c>
      <c r="AN7" s="7">
        <v>5.2120488063784496</v>
      </c>
      <c r="AO7" s="7">
        <v>4.5694027702867528</v>
      </c>
      <c r="AP7" s="7">
        <v>3.5960506835476269</v>
      </c>
      <c r="AQ7" s="7">
        <v>3.1738569687800928</v>
      </c>
      <c r="AR7" s="7">
        <v>2.127089401295807</v>
      </c>
      <c r="AS7" s="10" t="s">
        <v>92</v>
      </c>
    </row>
    <row r="8" spans="1:45" x14ac:dyDescent="0.35">
      <c r="A8" s="8" t="s">
        <v>66</v>
      </c>
      <c r="B8" s="6">
        <v>5.4071163394584669</v>
      </c>
      <c r="C8" s="6">
        <v>6.2433060834500456</v>
      </c>
      <c r="D8" s="6">
        <v>4.759262707203936</v>
      </c>
      <c r="E8" s="6">
        <v>6.3596756309384137</v>
      </c>
      <c r="F8" s="6">
        <v>6.1574650422372308</v>
      </c>
      <c r="G8" s="7">
        <v>5.4922709476555358</v>
      </c>
      <c r="H8" s="7">
        <v>4.7863704816064647</v>
      </c>
      <c r="I8" s="7">
        <v>3.981208615291842</v>
      </c>
      <c r="J8" s="7">
        <v>5.943952330057491</v>
      </c>
      <c r="K8" s="7">
        <v>5.7606272135929943</v>
      </c>
      <c r="L8" s="7">
        <v>6.8735368063328099</v>
      </c>
      <c r="M8" s="7">
        <v>5.7802706283650496</v>
      </c>
      <c r="N8" s="7">
        <v>4.6122454661419026</v>
      </c>
      <c r="O8" s="7">
        <v>4.9095619711655294</v>
      </c>
      <c r="P8" s="7">
        <v>6.451093740362194</v>
      </c>
      <c r="Q8" s="7">
        <v>5.8177693698300947</v>
      </c>
      <c r="R8" s="7">
        <v>5.6508677401968157</v>
      </c>
      <c r="S8" s="7">
        <v>6.8271819013593102</v>
      </c>
      <c r="T8" s="7">
        <v>6.2934661534054559</v>
      </c>
      <c r="U8" s="7">
        <v>6.4582002790164772</v>
      </c>
      <c r="V8" s="7">
        <v>7.7362069267950559</v>
      </c>
      <c r="W8" s="7">
        <v>5.7064363661740467</v>
      </c>
      <c r="X8" s="7">
        <v>6.6031439022313592</v>
      </c>
      <c r="Y8" s="7">
        <v>6.5775011881133443</v>
      </c>
      <c r="Z8" s="7">
        <v>6.7845168940455487</v>
      </c>
      <c r="AA8" s="7">
        <v>6.5689051615777334</v>
      </c>
      <c r="AB8" s="7">
        <v>6.1630148128338584</v>
      </c>
      <c r="AC8" s="7">
        <v>5.8100617306782389</v>
      </c>
      <c r="AD8" s="7">
        <v>5.6686865569022569</v>
      </c>
      <c r="AE8" s="7">
        <v>7.7141924832060473</v>
      </c>
      <c r="AF8" s="7">
        <v>8.6306499206706562</v>
      </c>
      <c r="AG8" s="7">
        <v>7.5412086084583034</v>
      </c>
      <c r="AH8" s="7">
        <v>6.7202042744345052</v>
      </c>
      <c r="AI8" s="7">
        <v>7.6443043094504119</v>
      </c>
      <c r="AJ8" s="7">
        <v>6.6637338777720778</v>
      </c>
      <c r="AK8" s="7">
        <v>8.5137241664206869</v>
      </c>
      <c r="AL8" s="7">
        <v>6.2601517339099519</v>
      </c>
      <c r="AM8" s="7">
        <v>6.9310127704344104</v>
      </c>
      <c r="AN8" s="7">
        <v>7.4718045114851162</v>
      </c>
      <c r="AO8" s="7">
        <v>7.4180972167488166</v>
      </c>
      <c r="AP8" s="7">
        <v>6.630002827397977</v>
      </c>
      <c r="AQ8" s="7">
        <v>6.5200268736507363</v>
      </c>
      <c r="AR8" s="7">
        <v>6.7125581034634836</v>
      </c>
      <c r="AS8" s="10" t="s">
        <v>92</v>
      </c>
    </row>
    <row r="9" spans="1:45" x14ac:dyDescent="0.35">
      <c r="A9" s="8" t="s">
        <v>67</v>
      </c>
      <c r="B9" s="6">
        <v>10.564442952230429</v>
      </c>
      <c r="C9" s="6">
        <v>11.086781965307161</v>
      </c>
      <c r="D9" s="6">
        <v>10.334472513333861</v>
      </c>
      <c r="E9" s="6">
        <v>11.160480449244799</v>
      </c>
      <c r="F9" s="6">
        <v>10.80180687199109</v>
      </c>
      <c r="G9" s="7">
        <v>10.365524755217111</v>
      </c>
      <c r="H9" s="7">
        <v>9.8783180180943759</v>
      </c>
      <c r="I9" s="7">
        <v>10.74850860293718</v>
      </c>
      <c r="J9" s="7">
        <v>11.70955648527702</v>
      </c>
      <c r="K9" s="7">
        <v>10.56169622532664</v>
      </c>
      <c r="L9" s="7">
        <v>11.154885599840631</v>
      </c>
      <c r="M9" s="7">
        <v>10.47233685999551</v>
      </c>
      <c r="N9" s="7">
        <v>10.62795586416571</v>
      </c>
      <c r="O9" s="7">
        <v>11.358299243197109</v>
      </c>
      <c r="P9" s="7">
        <v>11.93335877721255</v>
      </c>
      <c r="Q9" s="7">
        <v>11.45647185881541</v>
      </c>
      <c r="R9" s="7">
        <v>11.490952030025881</v>
      </c>
      <c r="S9" s="7">
        <v>11.76596359720142</v>
      </c>
      <c r="T9" s="7">
        <v>11.938696297977881</v>
      </c>
      <c r="U9" s="7">
        <v>10.03422449950261</v>
      </c>
      <c r="V9" s="7">
        <v>12.80760607079282</v>
      </c>
      <c r="W9" s="7">
        <v>10.70047820565159</v>
      </c>
      <c r="X9" s="7">
        <v>11.887233844848581</v>
      </c>
      <c r="Y9" s="7">
        <v>11.103707719668209</v>
      </c>
      <c r="Z9" s="7">
        <v>12.279012851321241</v>
      </c>
      <c r="AA9" s="7">
        <v>11.09421652374977</v>
      </c>
      <c r="AB9" s="7">
        <v>11.63161196979941</v>
      </c>
      <c r="AC9" s="7">
        <v>11.88776203157313</v>
      </c>
      <c r="AD9" s="7">
        <v>11.413090157646421</v>
      </c>
      <c r="AE9" s="7">
        <v>11.88640628793695</v>
      </c>
      <c r="AF9" s="7">
        <v>11.79544756961254</v>
      </c>
      <c r="AG9" s="7">
        <v>11.884898241718069</v>
      </c>
      <c r="AH9" s="7">
        <v>11.73220123051742</v>
      </c>
      <c r="AI9" s="7">
        <v>11.62222965151615</v>
      </c>
      <c r="AJ9" s="7">
        <v>12.10432304176269</v>
      </c>
      <c r="AK9" s="7">
        <v>12.43178794770547</v>
      </c>
      <c r="AL9" s="7">
        <v>12.0596700639011</v>
      </c>
      <c r="AM9" s="7">
        <v>12.2381709704402</v>
      </c>
      <c r="AN9" s="7">
        <v>11.656242731066479</v>
      </c>
      <c r="AO9" s="7">
        <v>10.916599415664781</v>
      </c>
      <c r="AP9" s="7">
        <v>12.409934646595669</v>
      </c>
      <c r="AQ9" s="7">
        <v>11.67555121180026</v>
      </c>
      <c r="AR9" s="7">
        <v>12.31648667042686</v>
      </c>
      <c r="AS9" s="10" t="s">
        <v>92</v>
      </c>
    </row>
    <row r="10" spans="1:45" x14ac:dyDescent="0.35">
      <c r="A10" s="8" t="s">
        <v>68</v>
      </c>
      <c r="B10" s="6">
        <v>16.57475050174958</v>
      </c>
      <c r="C10" s="6">
        <v>16.197285302795141</v>
      </c>
      <c r="D10" s="6">
        <v>16.89063017280246</v>
      </c>
      <c r="E10" s="6">
        <v>17.1784783890173</v>
      </c>
      <c r="F10" s="6">
        <v>17.588285205242361</v>
      </c>
      <c r="G10" s="7">
        <v>16.814748027700119</v>
      </c>
      <c r="H10" s="7">
        <v>16.115912133579169</v>
      </c>
      <c r="I10" s="7">
        <v>17.235195321382541</v>
      </c>
      <c r="J10" s="7">
        <v>16.903910663481138</v>
      </c>
      <c r="K10" s="7">
        <v>16.91860217946309</v>
      </c>
      <c r="L10" s="7">
        <v>16.854464425055141</v>
      </c>
      <c r="M10" s="7">
        <v>17.289376127202381</v>
      </c>
      <c r="N10" s="7">
        <v>17.815177407953971</v>
      </c>
      <c r="O10" s="7">
        <v>16.99947642553413</v>
      </c>
      <c r="P10" s="7">
        <v>17.71269845046384</v>
      </c>
      <c r="Q10" s="7">
        <v>16.919949634716289</v>
      </c>
      <c r="R10" s="7">
        <v>16.456336896864968</v>
      </c>
      <c r="S10" s="7">
        <v>17.02806181388927</v>
      </c>
      <c r="T10" s="7">
        <v>16.901049551835289</v>
      </c>
      <c r="U10" s="7">
        <v>16.979322440967781</v>
      </c>
      <c r="V10" s="7">
        <v>18.21198767597841</v>
      </c>
      <c r="W10" s="7">
        <v>16.921504059566381</v>
      </c>
      <c r="X10" s="7">
        <v>17.2689302677665</v>
      </c>
      <c r="Y10" s="7">
        <v>17.304770173293729</v>
      </c>
      <c r="Z10" s="7">
        <v>18.095216974132342</v>
      </c>
      <c r="AA10" s="7">
        <v>18.42118354932154</v>
      </c>
      <c r="AB10" s="7">
        <v>18.183486565502211</v>
      </c>
      <c r="AC10" s="7">
        <v>17.264689508375241</v>
      </c>
      <c r="AD10" s="7">
        <v>17.458503481318399</v>
      </c>
      <c r="AE10" s="7">
        <v>17.58229225747295</v>
      </c>
      <c r="AF10" s="7">
        <v>17.931667794038141</v>
      </c>
      <c r="AG10" s="7">
        <v>17.193636564458171</v>
      </c>
      <c r="AH10" s="7">
        <v>17.411778819962201</v>
      </c>
      <c r="AI10" s="7">
        <v>18.01552436032776</v>
      </c>
      <c r="AJ10" s="7">
        <v>17.815526495975188</v>
      </c>
      <c r="AK10" s="7">
        <v>17.267799278535819</v>
      </c>
      <c r="AL10" s="7">
        <v>17.938704110379579</v>
      </c>
      <c r="AM10" s="7">
        <v>18.434555257179099</v>
      </c>
      <c r="AN10" s="7">
        <v>17.95780444446541</v>
      </c>
      <c r="AO10" s="7">
        <v>18.30464452798406</v>
      </c>
      <c r="AP10" s="7">
        <v>18.045986417565821</v>
      </c>
      <c r="AQ10" s="7">
        <v>18.34092023945303</v>
      </c>
      <c r="AR10" s="7">
        <v>17.61503784025313</v>
      </c>
      <c r="AS10" s="10" t="s">
        <v>92</v>
      </c>
    </row>
    <row r="11" spans="1:45" x14ac:dyDescent="0.35">
      <c r="A11" s="8" t="s">
        <v>69</v>
      </c>
      <c r="B11" s="6">
        <v>22.354157211108031</v>
      </c>
      <c r="C11" s="6">
        <v>21.781276824233409</v>
      </c>
      <c r="D11" s="6">
        <v>21.380268766560331</v>
      </c>
      <c r="E11" s="6">
        <v>21.748450396529972</v>
      </c>
      <c r="F11" s="6">
        <v>22.071688658764678</v>
      </c>
      <c r="G11" s="7">
        <v>21.964654304953459</v>
      </c>
      <c r="H11" s="7">
        <v>21.627074588292871</v>
      </c>
      <c r="I11" s="7">
        <v>21.363907895461232</v>
      </c>
      <c r="J11" s="7">
        <v>20.901494790612169</v>
      </c>
      <c r="K11" s="7">
        <v>21.078995067592949</v>
      </c>
      <c r="L11" s="7">
        <v>21.854407704816669</v>
      </c>
      <c r="M11" s="7">
        <v>22.374994429107922</v>
      </c>
      <c r="N11" s="7">
        <v>22.38928710083534</v>
      </c>
      <c r="O11" s="7">
        <v>21.765574982444381</v>
      </c>
      <c r="P11" s="7">
        <v>22.313976310163859</v>
      </c>
      <c r="Q11" s="7">
        <v>21.774493337840919</v>
      </c>
      <c r="R11" s="7">
        <v>21.357296041298589</v>
      </c>
      <c r="S11" s="7">
        <v>21.62241613482222</v>
      </c>
      <c r="T11" s="7">
        <v>21.891028978896319</v>
      </c>
      <c r="U11" s="7">
        <v>22.726561104379929</v>
      </c>
      <c r="V11" s="7">
        <v>22.52307903004133</v>
      </c>
      <c r="W11" s="7">
        <v>22.60717464712355</v>
      </c>
      <c r="X11" s="7">
        <v>22.240447250295251</v>
      </c>
      <c r="Y11" s="7">
        <v>22.34159016296918</v>
      </c>
      <c r="Z11" s="7">
        <v>22.653610607064291</v>
      </c>
      <c r="AA11" s="7">
        <v>22.456584838066629</v>
      </c>
      <c r="AB11" s="7">
        <v>22.763717155317881</v>
      </c>
      <c r="AC11" s="7">
        <v>22.620487573618188</v>
      </c>
      <c r="AD11" s="7">
        <v>21.96106129740588</v>
      </c>
      <c r="AE11" s="7">
        <v>23.081021017166861</v>
      </c>
      <c r="AF11" s="7">
        <v>23.102610812982832</v>
      </c>
      <c r="AG11" s="7">
        <v>22.136839279701601</v>
      </c>
      <c r="AH11" s="7">
        <v>22.89950671106503</v>
      </c>
      <c r="AI11" s="7">
        <v>22.741641265905368</v>
      </c>
      <c r="AJ11" s="7">
        <v>22.91763894824188</v>
      </c>
      <c r="AK11" s="7">
        <v>22.514787530854129</v>
      </c>
      <c r="AL11" s="7">
        <v>22.816755202215958</v>
      </c>
      <c r="AM11" s="7">
        <v>22.206804433244749</v>
      </c>
      <c r="AN11" s="7">
        <v>22.608232132037049</v>
      </c>
      <c r="AO11" s="7">
        <v>22.78486880870463</v>
      </c>
      <c r="AP11" s="7">
        <v>23.224841936003958</v>
      </c>
      <c r="AQ11" s="7">
        <v>22.755926872152781</v>
      </c>
      <c r="AR11" s="7">
        <v>22.384092763577041</v>
      </c>
      <c r="AS11" s="10" t="s">
        <v>92</v>
      </c>
    </row>
    <row r="12" spans="1:45" x14ac:dyDescent="0.35">
      <c r="A12" s="8" t="s">
        <v>70</v>
      </c>
      <c r="B12" s="6">
        <v>24.254608249469069</v>
      </c>
      <c r="C12" s="6">
        <v>24.705616350633971</v>
      </c>
      <c r="D12" s="6">
        <v>24.72852282666765</v>
      </c>
      <c r="E12" s="6">
        <v>23.920174045912649</v>
      </c>
      <c r="F12" s="6">
        <v>24.449355235618999</v>
      </c>
      <c r="G12" s="7">
        <v>24.875103448048321</v>
      </c>
      <c r="H12" s="7">
        <v>24.56710513306485</v>
      </c>
      <c r="I12" s="7">
        <v>24.220153961788721</v>
      </c>
      <c r="J12" s="7">
        <v>24.862506625572841</v>
      </c>
      <c r="K12" s="7">
        <v>24.428242910460149</v>
      </c>
      <c r="L12" s="7">
        <v>24.239352480978152</v>
      </c>
      <c r="M12" s="7">
        <v>24.99568369445916</v>
      </c>
      <c r="N12" s="7">
        <v>24.409353404407739</v>
      </c>
      <c r="O12" s="7">
        <v>25.375702857544791</v>
      </c>
      <c r="P12" s="7">
        <v>25.4434384096377</v>
      </c>
      <c r="Q12" s="7">
        <v>24.63196069749754</v>
      </c>
      <c r="R12" s="7">
        <v>25.3446880580148</v>
      </c>
      <c r="S12" s="7">
        <v>24.97177905429789</v>
      </c>
      <c r="T12" s="7">
        <v>24.68156032878192</v>
      </c>
      <c r="U12" s="7">
        <v>24.88279601352064</v>
      </c>
      <c r="V12" s="7">
        <v>24.950201015333501</v>
      </c>
      <c r="W12" s="7">
        <v>26.09891902576301</v>
      </c>
      <c r="X12" s="7">
        <v>25.625006262739021</v>
      </c>
      <c r="Y12" s="7">
        <v>25.235393138968199</v>
      </c>
      <c r="Z12" s="7">
        <v>25.820515302093479</v>
      </c>
      <c r="AA12" s="7">
        <v>25.867538867635371</v>
      </c>
      <c r="AB12" s="7">
        <v>25.4812330734262</v>
      </c>
      <c r="AC12" s="7">
        <v>26.442477101875092</v>
      </c>
      <c r="AD12" s="7">
        <v>25.42245838557789</v>
      </c>
      <c r="AE12" s="7">
        <v>26.056093844850061</v>
      </c>
      <c r="AF12" s="7">
        <v>26.07131285479576</v>
      </c>
      <c r="AG12" s="7">
        <v>26.128650459531581</v>
      </c>
      <c r="AH12" s="7">
        <v>25.88469072936218</v>
      </c>
      <c r="AI12" s="7">
        <v>25.984360772866381</v>
      </c>
      <c r="AJ12" s="7">
        <v>25.651059310839688</v>
      </c>
      <c r="AK12" s="7">
        <v>25.509353914400648</v>
      </c>
      <c r="AL12" s="7">
        <v>25.38069496674872</v>
      </c>
      <c r="AM12" s="7">
        <v>26.172625284017489</v>
      </c>
      <c r="AN12" s="7">
        <v>26.064994153295441</v>
      </c>
      <c r="AO12" s="7">
        <v>25.81755377668869</v>
      </c>
      <c r="AP12" s="7">
        <v>25.815974318623329</v>
      </c>
      <c r="AQ12" s="7">
        <v>25.967811901945719</v>
      </c>
      <c r="AR12" s="7">
        <v>25.662207354547231</v>
      </c>
      <c r="AS12" s="10" t="s">
        <v>92</v>
      </c>
    </row>
    <row r="13" spans="1:45" x14ac:dyDescent="0.35">
      <c r="A13" s="8" t="s">
        <v>71</v>
      </c>
      <c r="B13" s="6">
        <v>24.55415210952501</v>
      </c>
      <c r="C13" s="6">
        <v>24.004858208621719</v>
      </c>
      <c r="D13" s="6">
        <v>24.352132628812502</v>
      </c>
      <c r="E13" s="6">
        <v>24.302237109870319</v>
      </c>
      <c r="F13" s="6">
        <v>24.710904311652651</v>
      </c>
      <c r="G13" s="7">
        <v>24.22021188118477</v>
      </c>
      <c r="H13" s="7">
        <v>24.205687341934979</v>
      </c>
      <c r="I13" s="7">
        <v>24.612285954332151</v>
      </c>
      <c r="J13" s="7">
        <v>25.15699691999896</v>
      </c>
      <c r="K13" s="7">
        <v>24.71259079775783</v>
      </c>
      <c r="L13" s="7">
        <v>24.700355175846781</v>
      </c>
      <c r="M13" s="7">
        <v>25.204057211008859</v>
      </c>
      <c r="N13" s="7">
        <v>24.331698262740058</v>
      </c>
      <c r="O13" s="7">
        <v>25.276042537163029</v>
      </c>
      <c r="P13" s="7">
        <v>24.385555135507271</v>
      </c>
      <c r="Q13" s="7">
        <v>24.891429673365391</v>
      </c>
      <c r="R13" s="7">
        <v>25.306092332489801</v>
      </c>
      <c r="S13" s="7">
        <v>24.6074355795385</v>
      </c>
      <c r="T13" s="7">
        <v>25.172065421983859</v>
      </c>
      <c r="U13" s="7">
        <v>25.268570612465702</v>
      </c>
      <c r="V13" s="7">
        <v>25.168275148914301</v>
      </c>
      <c r="W13" s="7">
        <v>25.72609125362812</v>
      </c>
      <c r="X13" s="7">
        <v>25.62349996847561</v>
      </c>
      <c r="Y13" s="7">
        <v>25.37517049110442</v>
      </c>
      <c r="Z13" s="7">
        <v>25.304742595408719</v>
      </c>
      <c r="AA13" s="7">
        <v>25.31940172138772</v>
      </c>
      <c r="AB13" s="7">
        <v>25.85766560886886</v>
      </c>
      <c r="AC13" s="7">
        <v>25.224333770176941</v>
      </c>
      <c r="AD13" s="7">
        <v>25.478733380763739</v>
      </c>
      <c r="AE13" s="7">
        <v>26.263189768050921</v>
      </c>
      <c r="AF13" s="7">
        <v>26.57973278379713</v>
      </c>
      <c r="AG13" s="7">
        <v>26.04884232208622</v>
      </c>
      <c r="AH13" s="7">
        <v>25.302921617056889</v>
      </c>
      <c r="AI13" s="7">
        <v>25.646387821953049</v>
      </c>
      <c r="AJ13" s="7">
        <v>26.024166834523289</v>
      </c>
      <c r="AK13" s="7">
        <v>26.349521419654192</v>
      </c>
      <c r="AL13" s="7">
        <v>25.575819523165059</v>
      </c>
      <c r="AM13" s="7">
        <v>26.667704827863531</v>
      </c>
      <c r="AN13" s="7">
        <v>26.044666942803151</v>
      </c>
      <c r="AO13" s="7">
        <v>26.12601819679605</v>
      </c>
      <c r="AP13" s="7">
        <v>26.334381764159431</v>
      </c>
      <c r="AQ13" s="7">
        <v>25.809351334758212</v>
      </c>
      <c r="AR13" s="7">
        <v>26.471410930819371</v>
      </c>
      <c r="AS13" s="10" t="s">
        <v>92</v>
      </c>
    </row>
    <row r="14" spans="1:45" x14ac:dyDescent="0.35">
      <c r="A14" s="8" t="s">
        <v>72</v>
      </c>
      <c r="B14" s="6">
        <v>19.484986455145929</v>
      </c>
      <c r="C14" s="6">
        <v>18.9067292913568</v>
      </c>
      <c r="D14" s="6">
        <v>19.067098599215068</v>
      </c>
      <c r="E14" s="6">
        <v>19.155923409573241</v>
      </c>
      <c r="F14" s="6">
        <v>19.429055764790242</v>
      </c>
      <c r="G14" s="7">
        <v>19.29385850358608</v>
      </c>
      <c r="H14" s="7">
        <v>19.40796768443856</v>
      </c>
      <c r="I14" s="7">
        <v>19.213015503204812</v>
      </c>
      <c r="J14" s="7">
        <v>19.303767807171528</v>
      </c>
      <c r="K14" s="7">
        <v>18.908615127583769</v>
      </c>
      <c r="L14" s="7">
        <v>19.103208573667111</v>
      </c>
      <c r="M14" s="7">
        <v>19.618634034115011</v>
      </c>
      <c r="N14" s="7">
        <v>19.94864800574269</v>
      </c>
      <c r="O14" s="7">
        <v>19.144504512145691</v>
      </c>
      <c r="P14" s="7">
        <v>19.102859362183249</v>
      </c>
      <c r="Q14" s="7">
        <v>19.913757789073451</v>
      </c>
      <c r="R14" s="7">
        <v>19.429856821225918</v>
      </c>
      <c r="S14" s="7">
        <v>19.437954975649379</v>
      </c>
      <c r="T14" s="7">
        <v>19.789321838494061</v>
      </c>
      <c r="U14" s="7">
        <v>19.67989364992772</v>
      </c>
      <c r="V14" s="7">
        <v>20.167484138686259</v>
      </c>
      <c r="W14" s="7">
        <v>20.3525992996355</v>
      </c>
      <c r="X14" s="7">
        <v>20.3708230873563</v>
      </c>
      <c r="Y14" s="7">
        <v>20.13286872877071</v>
      </c>
      <c r="Z14" s="7">
        <v>20.90377574971043</v>
      </c>
      <c r="AA14" s="7">
        <v>20.77802732626737</v>
      </c>
      <c r="AB14" s="7">
        <v>20.32302138072512</v>
      </c>
      <c r="AC14" s="7">
        <v>20.37386299542657</v>
      </c>
      <c r="AD14" s="7">
        <v>20.548421173574621</v>
      </c>
      <c r="AE14" s="7">
        <v>20.45428243167979</v>
      </c>
      <c r="AF14" s="7">
        <v>20.11029570497243</v>
      </c>
      <c r="AG14" s="7">
        <v>20.560373936989791</v>
      </c>
      <c r="AH14" s="7">
        <v>21.042270914674059</v>
      </c>
      <c r="AI14" s="7">
        <v>20.648188645672491</v>
      </c>
      <c r="AJ14" s="7">
        <v>20.355069328201409</v>
      </c>
      <c r="AK14" s="7">
        <v>20.942315613157991</v>
      </c>
      <c r="AL14" s="7">
        <v>20.034151473459151</v>
      </c>
      <c r="AM14" s="7">
        <v>20.961009666565399</v>
      </c>
      <c r="AN14" s="7">
        <v>20.267566370327941</v>
      </c>
      <c r="AO14" s="7">
        <v>20.747898844894859</v>
      </c>
      <c r="AP14" s="7">
        <v>20.762546428912671</v>
      </c>
      <c r="AQ14" s="7">
        <v>20.980671908941691</v>
      </c>
      <c r="AR14" s="7">
        <v>20.046958138324989</v>
      </c>
      <c r="AS14" s="10" t="s">
        <v>92</v>
      </c>
    </row>
    <row r="16" spans="1:45" x14ac:dyDescent="0.35">
      <c r="A16" s="1" t="s">
        <v>145</v>
      </c>
      <c r="B16" s="8">
        <v>2018</v>
      </c>
      <c r="C16" s="8">
        <v>2019</v>
      </c>
      <c r="D16" s="8">
        <v>2020</v>
      </c>
      <c r="E16" s="8">
        <v>2021</v>
      </c>
      <c r="F16" s="8">
        <v>2022</v>
      </c>
      <c r="G16" s="8">
        <v>2023</v>
      </c>
      <c r="H16" s="8">
        <v>2024</v>
      </c>
      <c r="I16" s="8">
        <v>2025</v>
      </c>
      <c r="J16" s="8">
        <v>2026</v>
      </c>
      <c r="K16" s="8">
        <v>2027</v>
      </c>
      <c r="L16" s="8">
        <v>2028</v>
      </c>
      <c r="M16" s="8">
        <v>2029</v>
      </c>
      <c r="N16" s="8">
        <v>2030</v>
      </c>
      <c r="O16" s="8">
        <v>2031</v>
      </c>
      <c r="P16" s="8">
        <v>2032</v>
      </c>
      <c r="Q16" s="8">
        <v>2033</v>
      </c>
      <c r="R16" s="8">
        <v>2034</v>
      </c>
      <c r="S16" s="8">
        <v>2035</v>
      </c>
      <c r="T16" s="8">
        <v>2036</v>
      </c>
      <c r="U16" s="8">
        <v>2037</v>
      </c>
      <c r="V16" s="8">
        <v>2038</v>
      </c>
      <c r="W16" s="8">
        <v>2039</v>
      </c>
      <c r="X16" s="8">
        <v>2040</v>
      </c>
      <c r="Y16" s="8">
        <v>2041</v>
      </c>
      <c r="Z16" s="8">
        <v>2042</v>
      </c>
      <c r="AA16" s="8">
        <v>2043</v>
      </c>
      <c r="AB16" s="8">
        <v>2044</v>
      </c>
      <c r="AC16" s="8">
        <v>2045</v>
      </c>
      <c r="AD16" s="8">
        <v>2046</v>
      </c>
      <c r="AE16" s="8">
        <v>2047</v>
      </c>
      <c r="AF16" s="8">
        <v>2048</v>
      </c>
      <c r="AG16" s="8">
        <v>2049</v>
      </c>
      <c r="AH16" s="8">
        <v>2050</v>
      </c>
      <c r="AI16" s="8">
        <v>2051</v>
      </c>
      <c r="AJ16" s="8">
        <v>2052</v>
      </c>
      <c r="AK16" s="8">
        <v>2053</v>
      </c>
      <c r="AL16" s="8">
        <v>2054</v>
      </c>
      <c r="AM16" s="8">
        <v>2055</v>
      </c>
      <c r="AN16" s="8">
        <v>2056</v>
      </c>
      <c r="AO16" s="8">
        <v>2057</v>
      </c>
      <c r="AP16" s="8">
        <v>2058</v>
      </c>
      <c r="AQ16" s="8">
        <v>2059</v>
      </c>
      <c r="AR16" s="8">
        <v>2060</v>
      </c>
      <c r="AS16" s="3" t="s">
        <v>39</v>
      </c>
    </row>
    <row r="17" spans="1:45" x14ac:dyDescent="0.35">
      <c r="A17" s="8" t="s">
        <v>73</v>
      </c>
      <c r="B17" s="6">
        <v>14.636791497637891</v>
      </c>
      <c r="C17" s="6">
        <v>13.72006402485389</v>
      </c>
      <c r="D17" s="6">
        <v>13.13251801831578</v>
      </c>
      <c r="E17" s="6">
        <v>13.48005801020393</v>
      </c>
      <c r="F17" s="6">
        <v>14.261372606447649</v>
      </c>
      <c r="G17" s="7">
        <v>14.63103664938525</v>
      </c>
      <c r="H17" s="7">
        <v>13.20616457394965</v>
      </c>
      <c r="I17" s="7">
        <v>15.415317582288029</v>
      </c>
      <c r="J17" s="7">
        <v>13.822393591692469</v>
      </c>
      <c r="K17" s="7">
        <v>13.79861759755536</v>
      </c>
      <c r="L17" s="7">
        <v>14.34430503875816</v>
      </c>
      <c r="M17" s="7">
        <v>14.02452638147984</v>
      </c>
      <c r="N17" s="7">
        <v>13.61073043939774</v>
      </c>
      <c r="O17" s="7">
        <v>13.531090454118059</v>
      </c>
      <c r="P17" s="7">
        <v>13.63869343793889</v>
      </c>
      <c r="Q17" s="7">
        <v>12.996371128359121</v>
      </c>
      <c r="R17" s="7">
        <v>13.42958952864033</v>
      </c>
      <c r="S17" s="7">
        <v>14.83852936092325</v>
      </c>
      <c r="T17" s="7">
        <v>14.509950663921609</v>
      </c>
      <c r="U17" s="7">
        <v>13.450405796928431</v>
      </c>
      <c r="V17" s="7">
        <v>15.08195541544872</v>
      </c>
      <c r="W17" s="7">
        <v>14.522642112717699</v>
      </c>
      <c r="X17" s="7">
        <v>14.28972331443841</v>
      </c>
      <c r="Y17" s="7">
        <v>14.732390745750999</v>
      </c>
      <c r="Z17" s="7">
        <v>13.920257083350069</v>
      </c>
      <c r="AA17" s="7">
        <v>14.29422241239889</v>
      </c>
      <c r="AB17" s="7">
        <v>15.17051848005276</v>
      </c>
      <c r="AC17" s="7">
        <v>15.111509493982441</v>
      </c>
      <c r="AD17" s="7">
        <v>15.148071649321169</v>
      </c>
      <c r="AE17" s="7">
        <v>15.199846351457991</v>
      </c>
      <c r="AF17" s="7">
        <v>15.88747839141897</v>
      </c>
      <c r="AG17" s="7">
        <v>14.2156381486723</v>
      </c>
      <c r="AH17" s="7">
        <v>14.775698391787021</v>
      </c>
      <c r="AI17" s="7">
        <v>15.156918149176271</v>
      </c>
      <c r="AJ17" s="7">
        <v>16.163406900362631</v>
      </c>
      <c r="AK17" s="7">
        <v>14.878712819881789</v>
      </c>
      <c r="AL17" s="7">
        <v>15.304721888948819</v>
      </c>
      <c r="AM17" s="7">
        <v>15.798685770195011</v>
      </c>
      <c r="AN17" s="7">
        <v>15.075495128527191</v>
      </c>
      <c r="AO17" s="7">
        <v>16.102430292503321</v>
      </c>
      <c r="AP17" s="7">
        <v>15.6789361311361</v>
      </c>
      <c r="AQ17" s="7">
        <v>15.721206031703071</v>
      </c>
      <c r="AR17" s="7">
        <v>15.75295212644294</v>
      </c>
      <c r="AS17" s="10" t="s">
        <v>92</v>
      </c>
    </row>
    <row r="18" spans="1:45" x14ac:dyDescent="0.35">
      <c r="A18" s="8" t="s">
        <v>74</v>
      </c>
      <c r="B18" s="6">
        <v>7.1386259483522654</v>
      </c>
      <c r="C18" s="6">
        <v>8.2943741458382387</v>
      </c>
      <c r="D18" s="6">
        <v>8.4970780261900174</v>
      </c>
      <c r="E18" s="6">
        <v>7.2218893092559426</v>
      </c>
      <c r="F18" s="6">
        <v>8.0116451164087117</v>
      </c>
      <c r="G18" s="7">
        <v>8.319403162925795</v>
      </c>
      <c r="H18" s="7">
        <v>8.4976045144767021</v>
      </c>
      <c r="I18" s="7">
        <v>8.1721929523318657</v>
      </c>
      <c r="J18" s="7">
        <v>8.3293979048380962</v>
      </c>
      <c r="K18" s="7">
        <v>8.3856673042030874</v>
      </c>
      <c r="L18" s="7">
        <v>7.55600286042415</v>
      </c>
      <c r="M18" s="7">
        <v>8.2138789011433673</v>
      </c>
      <c r="N18" s="7">
        <v>8.1241715229733646</v>
      </c>
      <c r="O18" s="7">
        <v>8.0595775733823665</v>
      </c>
      <c r="P18" s="7">
        <v>8.9125306591147204</v>
      </c>
      <c r="Q18" s="7">
        <v>7.6550802370795381</v>
      </c>
      <c r="R18" s="7">
        <v>7.6146508995339177</v>
      </c>
      <c r="S18" s="7">
        <v>10.028191826783811</v>
      </c>
      <c r="T18" s="7">
        <v>8.9995160199819146</v>
      </c>
      <c r="U18" s="7">
        <v>8.4015374928998714</v>
      </c>
      <c r="V18" s="7">
        <v>7.4106140014297681</v>
      </c>
      <c r="W18" s="7">
        <v>7.3857422037088591</v>
      </c>
      <c r="X18" s="7">
        <v>9.03747954583738</v>
      </c>
      <c r="Y18" s="7">
        <v>8.3665121464997458</v>
      </c>
      <c r="Z18" s="7">
        <v>7.0230053543357984</v>
      </c>
      <c r="AA18" s="7">
        <v>10.44387404675307</v>
      </c>
      <c r="AB18" s="7">
        <v>8.8545705920800621</v>
      </c>
      <c r="AC18" s="7">
        <v>8.6409121010789409</v>
      </c>
      <c r="AD18" s="7">
        <v>10.006585473976299</v>
      </c>
      <c r="AE18" s="7">
        <v>9.8100791981520565</v>
      </c>
      <c r="AF18" s="7">
        <v>9.3631355904137603</v>
      </c>
      <c r="AG18" s="7">
        <v>9.9579464169568901</v>
      </c>
      <c r="AH18" s="7">
        <v>9.7197843581311574</v>
      </c>
      <c r="AI18" s="7">
        <v>8.7227985386547395</v>
      </c>
      <c r="AJ18" s="7">
        <v>10.50921076023713</v>
      </c>
      <c r="AK18" s="7">
        <v>8.6088444808351667</v>
      </c>
      <c r="AL18" s="7">
        <v>9.2441266229399783</v>
      </c>
      <c r="AM18" s="7">
        <v>8.0881089450694859</v>
      </c>
      <c r="AN18" s="7">
        <v>9.6056220040660314</v>
      </c>
      <c r="AO18" s="7">
        <v>9.3270960482345711</v>
      </c>
      <c r="AP18" s="7">
        <v>9.3004330427471356</v>
      </c>
      <c r="AQ18" s="7">
        <v>11.0132600226899</v>
      </c>
      <c r="AR18" s="7">
        <v>11.7228263880346</v>
      </c>
      <c r="AS18" s="10" t="s">
        <v>92</v>
      </c>
    </row>
    <row r="19" spans="1:45" x14ac:dyDescent="0.35">
      <c r="A19" s="8" t="s">
        <v>75</v>
      </c>
      <c r="B19" s="6">
        <v>3.6118183727475688</v>
      </c>
      <c r="C19" s="6">
        <v>2.5059368095764158</v>
      </c>
      <c r="D19" s="6">
        <v>4.3954769075151052</v>
      </c>
      <c r="E19" s="6">
        <v>3.6672358148455619</v>
      </c>
      <c r="F19" s="6">
        <v>3.423649216410849</v>
      </c>
      <c r="G19" s="7">
        <v>2.8581149255602969</v>
      </c>
      <c r="H19" s="7">
        <v>3.8637545514385701</v>
      </c>
      <c r="I19" s="7">
        <v>2.6772296705978431</v>
      </c>
      <c r="J19" s="7">
        <v>3.471988595690267</v>
      </c>
      <c r="K19" s="7">
        <v>2.7375762847612002</v>
      </c>
      <c r="L19" s="7">
        <v>4.4743359416515407</v>
      </c>
      <c r="M19" s="7">
        <v>3.011739569730421</v>
      </c>
      <c r="N19" s="7">
        <v>4.4220473310517523</v>
      </c>
      <c r="O19" s="7">
        <v>1.9189554916497711</v>
      </c>
      <c r="P19" s="7">
        <v>3.329096137630446</v>
      </c>
      <c r="Q19" s="7">
        <v>4.0237963745610612</v>
      </c>
      <c r="R19" s="7">
        <v>4.634014713948889</v>
      </c>
      <c r="S19" s="7">
        <v>4.842903032127488</v>
      </c>
      <c r="T19" s="7">
        <v>3.1857671683480739</v>
      </c>
      <c r="U19" s="7">
        <v>3.663674963154655</v>
      </c>
      <c r="V19" s="7">
        <v>4.2601218370463547</v>
      </c>
      <c r="W19" s="7">
        <v>4.9936275055386554</v>
      </c>
      <c r="X19" s="7">
        <v>4.4483856274276077</v>
      </c>
      <c r="Y19" s="7">
        <v>4.1323226759506202</v>
      </c>
      <c r="Z19" s="7">
        <v>4.1754206305459753</v>
      </c>
      <c r="AA19" s="7">
        <v>5.1105293014990254</v>
      </c>
      <c r="AB19" s="7">
        <v>4.4364266354361286</v>
      </c>
      <c r="AC19" s="7">
        <v>5.0712798063163991</v>
      </c>
      <c r="AD19" s="7">
        <v>5.1311565737588776</v>
      </c>
      <c r="AE19" s="7">
        <v>3.7223082696687002</v>
      </c>
      <c r="AF19" s="7">
        <v>4.1205916562867104</v>
      </c>
      <c r="AG19" s="7">
        <v>3.8210555949472349</v>
      </c>
      <c r="AH19" s="7">
        <v>4.6516090324643988</v>
      </c>
      <c r="AI19" s="7">
        <v>4.9085568466384109</v>
      </c>
      <c r="AJ19" s="7">
        <v>5.4718881763266527</v>
      </c>
      <c r="AK19" s="7">
        <v>4.8804401411123104</v>
      </c>
      <c r="AL19" s="7">
        <v>5.2882719252719559</v>
      </c>
      <c r="AM19" s="7">
        <v>5.0681474968731646</v>
      </c>
      <c r="AN19" s="7">
        <v>3.744759202266867</v>
      </c>
      <c r="AO19" s="7">
        <v>5.3418646207704503</v>
      </c>
      <c r="AP19" s="7">
        <v>4.3853479757778944</v>
      </c>
      <c r="AQ19" s="7">
        <v>5.6874517479912274</v>
      </c>
      <c r="AR19" s="7">
        <v>5.1464186921328654</v>
      </c>
      <c r="AS19" s="10" t="s">
        <v>92</v>
      </c>
    </row>
    <row r="20" spans="1:45" x14ac:dyDescent="0.35">
      <c r="A20" s="8" t="s">
        <v>64</v>
      </c>
      <c r="B20" s="6">
        <v>2.6166527335130501</v>
      </c>
      <c r="C20" s="6">
        <v>2.4943896218434638</v>
      </c>
      <c r="D20" s="6">
        <v>0.20619662492215279</v>
      </c>
      <c r="E20" s="6">
        <v>1.951193718946022</v>
      </c>
      <c r="F20" s="6">
        <v>1.9304013367846951</v>
      </c>
      <c r="G20" s="7">
        <v>1.731049153753816</v>
      </c>
      <c r="H20" s="7">
        <v>1.8566086124147689</v>
      </c>
      <c r="I20" s="7">
        <v>1.078680462386415</v>
      </c>
      <c r="J20" s="7">
        <v>1.311577249458233</v>
      </c>
      <c r="K20" s="7">
        <v>2.6398963159387629</v>
      </c>
      <c r="L20" s="7">
        <v>1.8885046378106001</v>
      </c>
      <c r="M20" s="7">
        <v>1.702567931289201</v>
      </c>
      <c r="N20" s="7">
        <v>2.6106717614351642</v>
      </c>
      <c r="O20" s="7">
        <v>3.0772791781880811</v>
      </c>
      <c r="P20" s="7">
        <v>0.89052312092397423</v>
      </c>
      <c r="Q20" s="7">
        <v>1.106703822445511</v>
      </c>
      <c r="R20" s="7">
        <v>1.3290448500119929</v>
      </c>
      <c r="S20" s="7">
        <v>2.4099734391525991</v>
      </c>
      <c r="T20" s="7">
        <v>2.6552380402961968</v>
      </c>
      <c r="U20" s="7">
        <v>1.906075755436391</v>
      </c>
      <c r="V20" s="7">
        <v>2.5000149942730152</v>
      </c>
      <c r="W20" s="7">
        <v>3.183792049839032</v>
      </c>
      <c r="X20" s="7">
        <v>2.4933857837629971</v>
      </c>
      <c r="Y20" s="7">
        <v>1.9326635582237</v>
      </c>
      <c r="Z20" s="7">
        <v>2.8030664093175739</v>
      </c>
      <c r="AA20" s="7">
        <v>1.59170927754577</v>
      </c>
      <c r="AB20" s="7">
        <v>2.2056781666327518</v>
      </c>
      <c r="AC20" s="7">
        <v>3.062984119498497</v>
      </c>
      <c r="AD20" s="7">
        <v>3.9340564070916688</v>
      </c>
      <c r="AE20" s="7">
        <v>3.7683853888504628</v>
      </c>
      <c r="AF20" s="7">
        <v>1.8193398927605131</v>
      </c>
      <c r="AG20" s="7">
        <v>3.605819178643447</v>
      </c>
      <c r="AH20" s="7">
        <v>3.23051787305269</v>
      </c>
      <c r="AI20" s="7">
        <v>3.190916143444674</v>
      </c>
      <c r="AJ20" s="7">
        <v>3.6380559021193868</v>
      </c>
      <c r="AK20" s="7">
        <v>4.1815406111717488</v>
      </c>
      <c r="AL20" s="7">
        <v>4.3951250789778964</v>
      </c>
      <c r="AM20" s="7">
        <v>3.7153121378404772</v>
      </c>
      <c r="AN20" s="7">
        <v>3.552732133254668</v>
      </c>
      <c r="AO20" s="7">
        <v>2.8552002420894449</v>
      </c>
      <c r="AP20" s="7">
        <v>3.3545433859652949</v>
      </c>
      <c r="AQ20" s="7">
        <v>3.1981151885004531</v>
      </c>
      <c r="AR20" s="7">
        <v>2.8985384582993059</v>
      </c>
      <c r="AS20" s="10" t="s">
        <v>92</v>
      </c>
    </row>
    <row r="21" spans="1:45" x14ac:dyDescent="0.35">
      <c r="A21" s="8" t="s">
        <v>65</v>
      </c>
      <c r="B21" s="6">
        <v>4.6421804819059469</v>
      </c>
      <c r="C21" s="6">
        <v>3.427125716718427</v>
      </c>
      <c r="D21" s="6">
        <v>0.33726463535779388</v>
      </c>
      <c r="E21" s="6">
        <v>2.1259704520005451</v>
      </c>
      <c r="F21" s="6">
        <v>2.3726927942691658</v>
      </c>
      <c r="G21" s="7">
        <v>1.1539794395578979</v>
      </c>
      <c r="H21" s="7">
        <v>3.598343331466388</v>
      </c>
      <c r="I21" s="7">
        <v>1.0739688388049371</v>
      </c>
      <c r="J21" s="7">
        <v>3.2920903642541028</v>
      </c>
      <c r="K21" s="7">
        <v>2.084448812507425</v>
      </c>
      <c r="L21" s="7">
        <v>2.8951887120181219</v>
      </c>
      <c r="M21" s="7">
        <v>2.437327793220601</v>
      </c>
      <c r="N21" s="7">
        <v>2.6137929853100261</v>
      </c>
      <c r="O21" s="7">
        <v>2.7016835688653851</v>
      </c>
      <c r="P21" s="7">
        <v>2.60161303376898</v>
      </c>
      <c r="Q21" s="7">
        <v>2.6351941653421012</v>
      </c>
      <c r="R21" s="7">
        <v>1.681852349942818</v>
      </c>
      <c r="S21" s="7">
        <v>2.923254249969748</v>
      </c>
      <c r="T21" s="7">
        <v>3.853814219520816</v>
      </c>
      <c r="U21" s="7">
        <v>3.876047276212947</v>
      </c>
      <c r="V21" s="7">
        <v>3.0666575010608468</v>
      </c>
      <c r="W21" s="7">
        <v>3.6703999549384441</v>
      </c>
      <c r="X21" s="7">
        <v>3.0592481424342979</v>
      </c>
      <c r="Y21" s="7">
        <v>0.8133845612529611</v>
      </c>
      <c r="Z21" s="7">
        <v>1.658332338787049</v>
      </c>
      <c r="AA21" s="7">
        <v>3.68310727571758</v>
      </c>
      <c r="AB21" s="7">
        <v>3.2722170770497581</v>
      </c>
      <c r="AC21" s="7">
        <v>4.8679181849138926</v>
      </c>
      <c r="AD21" s="7">
        <v>3.2084846141501591</v>
      </c>
      <c r="AE21" s="7">
        <v>3.2915327382981321</v>
      </c>
      <c r="AF21" s="7">
        <v>1.945834098199563</v>
      </c>
      <c r="AG21" s="7">
        <v>4.0679990850628904</v>
      </c>
      <c r="AH21" s="7">
        <v>3.8747553003251989</v>
      </c>
      <c r="AI21" s="7">
        <v>3.293635065654215</v>
      </c>
      <c r="AJ21" s="7">
        <v>4.9174652951405946</v>
      </c>
      <c r="AK21" s="7">
        <v>3.9226140648378731</v>
      </c>
      <c r="AL21" s="7">
        <v>4.6001172502291503</v>
      </c>
      <c r="AM21" s="7">
        <v>4.3552391573887066</v>
      </c>
      <c r="AN21" s="7">
        <v>4.9300269806864527</v>
      </c>
      <c r="AO21" s="7">
        <v>3.6021191172049991</v>
      </c>
      <c r="AP21" s="7">
        <v>5.0618186449046494</v>
      </c>
      <c r="AQ21" s="7">
        <v>3.6714228646749669</v>
      </c>
      <c r="AR21" s="7">
        <v>3.631722843753709</v>
      </c>
      <c r="AS21" s="10" t="s">
        <v>92</v>
      </c>
    </row>
    <row r="22" spans="1:45" x14ac:dyDescent="0.35">
      <c r="A22" s="8" t="s">
        <v>66</v>
      </c>
      <c r="B22" s="6">
        <v>7.2212844345256926</v>
      </c>
      <c r="C22" s="6">
        <v>5.7578303642095863</v>
      </c>
      <c r="D22" s="6">
        <v>5.9851759215498586</v>
      </c>
      <c r="E22" s="6">
        <v>6.0321431785672619</v>
      </c>
      <c r="F22" s="6">
        <v>5.7776280812527352</v>
      </c>
      <c r="G22" s="7">
        <v>5.5190375638985989</v>
      </c>
      <c r="H22" s="7">
        <v>6.5675052016503894</v>
      </c>
      <c r="I22" s="7">
        <v>6.1869375154186601</v>
      </c>
      <c r="J22" s="7">
        <v>6.6506508134824918</v>
      </c>
      <c r="K22" s="7">
        <v>7.3662900838613146</v>
      </c>
      <c r="L22" s="7">
        <v>7.5526350084088039</v>
      </c>
      <c r="M22" s="7">
        <v>5.7771736733369483</v>
      </c>
      <c r="N22" s="7">
        <v>5.6908713363597911</v>
      </c>
      <c r="O22" s="7">
        <v>6.5890931074032846</v>
      </c>
      <c r="P22" s="7">
        <v>6.3287647721499836</v>
      </c>
      <c r="Q22" s="7">
        <v>6.9275493569797364</v>
      </c>
      <c r="R22" s="7">
        <v>6.0605318783320827</v>
      </c>
      <c r="S22" s="7">
        <v>6.5565317395149423</v>
      </c>
      <c r="T22" s="7">
        <v>7.4107233384870028</v>
      </c>
      <c r="U22" s="7">
        <v>8.153813761771346</v>
      </c>
      <c r="V22" s="7">
        <v>6.9800430076232551</v>
      </c>
      <c r="W22" s="7">
        <v>7.332337593084258</v>
      </c>
      <c r="X22" s="7">
        <v>6.5472543636133738</v>
      </c>
      <c r="Y22" s="7">
        <v>6.8235452170420254</v>
      </c>
      <c r="Z22" s="7">
        <v>6.9257934482751136</v>
      </c>
      <c r="AA22" s="7">
        <v>6.7893411504512864</v>
      </c>
      <c r="AB22" s="7">
        <v>7.0945838021822158</v>
      </c>
      <c r="AC22" s="7">
        <v>7.4960409974705611</v>
      </c>
      <c r="AD22" s="7">
        <v>6.9248989466797282</v>
      </c>
      <c r="AE22" s="7">
        <v>7.0805105220041522</v>
      </c>
      <c r="AF22" s="7">
        <v>6.6728729645222664</v>
      </c>
      <c r="AG22" s="7">
        <v>7.4003853524664427</v>
      </c>
      <c r="AH22" s="7">
        <v>9.1966353291294851</v>
      </c>
      <c r="AI22" s="7">
        <v>6.6247904367649326</v>
      </c>
      <c r="AJ22" s="7">
        <v>8.0262974771032187</v>
      </c>
      <c r="AK22" s="7">
        <v>6.7651748549804172</v>
      </c>
      <c r="AL22" s="7">
        <v>7.3789433207464086</v>
      </c>
      <c r="AM22" s="7">
        <v>7.906670004694397</v>
      </c>
      <c r="AN22" s="7">
        <v>6.9965388562058681</v>
      </c>
      <c r="AO22" s="7">
        <v>7.6618837236114912</v>
      </c>
      <c r="AP22" s="7">
        <v>8.1323690817020129</v>
      </c>
      <c r="AQ22" s="7">
        <v>8.009758390894973</v>
      </c>
      <c r="AR22" s="7">
        <v>7.578273641840898</v>
      </c>
      <c r="AS22" s="10" t="s">
        <v>92</v>
      </c>
    </row>
    <row r="23" spans="1:45" x14ac:dyDescent="0.35">
      <c r="A23" s="8" t="s">
        <v>67</v>
      </c>
      <c r="B23" s="6">
        <v>11.71827009158144</v>
      </c>
      <c r="C23" s="6">
        <v>11.678746485122391</v>
      </c>
      <c r="D23" s="6">
        <v>10.49150377360572</v>
      </c>
      <c r="E23" s="6">
        <v>11.26799713167869</v>
      </c>
      <c r="F23" s="6">
        <v>10.64557695629796</v>
      </c>
      <c r="G23" s="7">
        <v>11.067276737255449</v>
      </c>
      <c r="H23" s="7">
        <v>12.552290256815949</v>
      </c>
      <c r="I23" s="7">
        <v>10.8109423434612</v>
      </c>
      <c r="J23" s="7">
        <v>11.47251027238306</v>
      </c>
      <c r="K23" s="7">
        <v>11.321105597482481</v>
      </c>
      <c r="L23" s="7">
        <v>11.98879564195896</v>
      </c>
      <c r="M23" s="7">
        <v>11.797421992957281</v>
      </c>
      <c r="N23" s="7">
        <v>11.354305413693259</v>
      </c>
      <c r="O23" s="7">
        <v>11.735809937922451</v>
      </c>
      <c r="P23" s="7">
        <v>11.858117245813281</v>
      </c>
      <c r="Q23" s="7">
        <v>12.13591098525432</v>
      </c>
      <c r="R23" s="7">
        <v>11.79731394913942</v>
      </c>
      <c r="S23" s="7">
        <v>11.535418586578309</v>
      </c>
      <c r="T23" s="7">
        <v>11.65034667236635</v>
      </c>
      <c r="U23" s="7">
        <v>11.992853880653641</v>
      </c>
      <c r="V23" s="7">
        <v>11.85965844252463</v>
      </c>
      <c r="W23" s="7">
        <v>12.10295905756087</v>
      </c>
      <c r="X23" s="7">
        <v>11.818601389283719</v>
      </c>
      <c r="Y23" s="7">
        <v>12.59015456752687</v>
      </c>
      <c r="Z23" s="7">
        <v>12.184033806307321</v>
      </c>
      <c r="AA23" s="7">
        <v>12.3974908750117</v>
      </c>
      <c r="AB23" s="7">
        <v>11.36277464536327</v>
      </c>
      <c r="AC23" s="7">
        <v>11.837651676457661</v>
      </c>
      <c r="AD23" s="7">
        <v>11.58300008300966</v>
      </c>
      <c r="AE23" s="7">
        <v>11.434927162554869</v>
      </c>
      <c r="AF23" s="7">
        <v>11.773242845121199</v>
      </c>
      <c r="AG23" s="7">
        <v>12.131833969683379</v>
      </c>
      <c r="AH23" s="7">
        <v>12.179031649225839</v>
      </c>
      <c r="AI23" s="7">
        <v>12.24371626559633</v>
      </c>
      <c r="AJ23" s="7">
        <v>12.77787036182934</v>
      </c>
      <c r="AK23" s="7">
        <v>12.310256443792531</v>
      </c>
      <c r="AL23" s="7">
        <v>12.645945754068871</v>
      </c>
      <c r="AM23" s="7">
        <v>11.774314639198661</v>
      </c>
      <c r="AN23" s="7">
        <v>12.30962149502189</v>
      </c>
      <c r="AO23" s="7">
        <v>12.904293605516219</v>
      </c>
      <c r="AP23" s="7">
        <v>13.42848792482104</v>
      </c>
      <c r="AQ23" s="7">
        <v>12.62386485228963</v>
      </c>
      <c r="AR23" s="7">
        <v>12.0064455183155</v>
      </c>
      <c r="AS23" s="10" t="s">
        <v>92</v>
      </c>
    </row>
    <row r="24" spans="1:45" x14ac:dyDescent="0.35">
      <c r="A24" s="8" t="s">
        <v>68</v>
      </c>
      <c r="B24" s="6">
        <v>16.866049900155868</v>
      </c>
      <c r="C24" s="6">
        <v>17.275873871431539</v>
      </c>
      <c r="D24" s="6">
        <v>16.258483597010041</v>
      </c>
      <c r="E24" s="6">
        <v>17.76981711837746</v>
      </c>
      <c r="F24" s="6">
        <v>17.098015076108862</v>
      </c>
      <c r="G24" s="7">
        <v>16.851253224857921</v>
      </c>
      <c r="H24" s="7">
        <v>17.924685545374921</v>
      </c>
      <c r="I24" s="7">
        <v>17.531568966685899</v>
      </c>
      <c r="J24" s="7">
        <v>18.057618679704689</v>
      </c>
      <c r="K24" s="7">
        <v>16.59634237411224</v>
      </c>
      <c r="L24" s="7">
        <v>17.803479712186281</v>
      </c>
      <c r="M24" s="7">
        <v>16.93175749500962</v>
      </c>
      <c r="N24" s="7">
        <v>17.115974552998068</v>
      </c>
      <c r="O24" s="7">
        <v>16.848400260748299</v>
      </c>
      <c r="P24" s="7">
        <v>17.86369485216003</v>
      </c>
      <c r="Q24" s="7">
        <v>17.05815778635279</v>
      </c>
      <c r="R24" s="7">
        <v>18.053765649841921</v>
      </c>
      <c r="S24" s="7">
        <v>16.908257522828752</v>
      </c>
      <c r="T24" s="7">
        <v>17.08211717002251</v>
      </c>
      <c r="U24" s="7">
        <v>18.560223319695211</v>
      </c>
      <c r="V24" s="7">
        <v>17.458010183951242</v>
      </c>
      <c r="W24" s="7">
        <v>18.044308348933161</v>
      </c>
      <c r="X24" s="7">
        <v>17.440819197389999</v>
      </c>
      <c r="Y24" s="7">
        <v>18.195440308910761</v>
      </c>
      <c r="Z24" s="7">
        <v>17.625067960633931</v>
      </c>
      <c r="AA24" s="7">
        <v>17.982272239280629</v>
      </c>
      <c r="AB24" s="7">
        <v>17.141711847689951</v>
      </c>
      <c r="AC24" s="7">
        <v>17.8594875675563</v>
      </c>
      <c r="AD24" s="7">
        <v>18.396570217890591</v>
      </c>
      <c r="AE24" s="7">
        <v>18.859012672849062</v>
      </c>
      <c r="AF24" s="7">
        <v>18.553489665631989</v>
      </c>
      <c r="AG24" s="7">
        <v>18.7677904296573</v>
      </c>
      <c r="AH24" s="7">
        <v>18.122733106112658</v>
      </c>
      <c r="AI24" s="7">
        <v>18.014902518353288</v>
      </c>
      <c r="AJ24" s="7">
        <v>18.634505254987278</v>
      </c>
      <c r="AK24" s="7">
        <v>17.957086218610812</v>
      </c>
      <c r="AL24" s="7">
        <v>19.193940941525309</v>
      </c>
      <c r="AM24" s="7">
        <v>17.435219815088811</v>
      </c>
      <c r="AN24" s="7">
        <v>18.28195138904206</v>
      </c>
      <c r="AO24" s="7">
        <v>18.71728002196993</v>
      </c>
      <c r="AP24" s="7">
        <v>18.80994749462231</v>
      </c>
      <c r="AQ24" s="7">
        <v>18.369352231914409</v>
      </c>
      <c r="AR24" s="7">
        <v>18.948477437148082</v>
      </c>
      <c r="AS24" s="10" t="s">
        <v>92</v>
      </c>
    </row>
    <row r="25" spans="1:45" x14ac:dyDescent="0.35">
      <c r="A25" s="8" t="s">
        <v>69</v>
      </c>
      <c r="B25" s="6">
        <v>21.247797787695848</v>
      </c>
      <c r="C25" s="6">
        <v>21.095273885103769</v>
      </c>
      <c r="D25" s="6">
        <v>21.219547308368629</v>
      </c>
      <c r="E25" s="6">
        <v>22.756942386944171</v>
      </c>
      <c r="F25" s="6">
        <v>21.158999936077279</v>
      </c>
      <c r="G25" s="7">
        <v>21.526738370135028</v>
      </c>
      <c r="H25" s="7">
        <v>21.61647377139148</v>
      </c>
      <c r="I25" s="7">
        <v>22.305535295176728</v>
      </c>
      <c r="J25" s="7">
        <v>22.38978879572301</v>
      </c>
      <c r="K25" s="7">
        <v>21.768610582185872</v>
      </c>
      <c r="L25" s="7">
        <v>22.102581978350671</v>
      </c>
      <c r="M25" s="7">
        <v>22.28157073553837</v>
      </c>
      <c r="N25" s="7">
        <v>21.840578787292412</v>
      </c>
      <c r="O25" s="7">
        <v>21.894592402832739</v>
      </c>
      <c r="P25" s="7">
        <v>21.972945150076828</v>
      </c>
      <c r="Q25" s="7">
        <v>22.56513086629522</v>
      </c>
      <c r="R25" s="7">
        <v>23.337945572474151</v>
      </c>
      <c r="S25" s="7">
        <v>22.2353922143676</v>
      </c>
      <c r="T25" s="7">
        <v>21.7919969250454</v>
      </c>
      <c r="U25" s="7">
        <v>23.191216129826799</v>
      </c>
      <c r="V25" s="7">
        <v>22.111631283642119</v>
      </c>
      <c r="W25" s="7">
        <v>22.568026259527699</v>
      </c>
      <c r="X25" s="7">
        <v>22.550615171474501</v>
      </c>
      <c r="Y25" s="7">
        <v>23.10919952730864</v>
      </c>
      <c r="Z25" s="7">
        <v>22.374712385567641</v>
      </c>
      <c r="AA25" s="7">
        <v>22.275130354558591</v>
      </c>
      <c r="AB25" s="7">
        <v>22.810647346957431</v>
      </c>
      <c r="AC25" s="7">
        <v>22.243363806774781</v>
      </c>
      <c r="AD25" s="7">
        <v>22.195290877583219</v>
      </c>
      <c r="AE25" s="7">
        <v>23.272915109197971</v>
      </c>
      <c r="AF25" s="7">
        <v>23.625261573494392</v>
      </c>
      <c r="AG25" s="7">
        <v>22.753767546200919</v>
      </c>
      <c r="AH25" s="7">
        <v>23.294799090683931</v>
      </c>
      <c r="AI25" s="7">
        <v>23.485033114087361</v>
      </c>
      <c r="AJ25" s="7">
        <v>23.651296781017209</v>
      </c>
      <c r="AK25" s="7">
        <v>23.92199666339507</v>
      </c>
      <c r="AL25" s="7">
        <v>23.919810168295879</v>
      </c>
      <c r="AM25" s="7">
        <v>23.642479187678251</v>
      </c>
      <c r="AN25" s="7">
        <v>23.606886600654779</v>
      </c>
      <c r="AO25" s="7">
        <v>23.156113139568468</v>
      </c>
      <c r="AP25" s="7">
        <v>23.5943158834807</v>
      </c>
      <c r="AQ25" s="7">
        <v>23.738777315697721</v>
      </c>
      <c r="AR25" s="7">
        <v>23.378670669326009</v>
      </c>
      <c r="AS25" s="10" t="s">
        <v>92</v>
      </c>
    </row>
    <row r="26" spans="1:45" x14ac:dyDescent="0.35">
      <c r="A26" s="8" t="s">
        <v>70</v>
      </c>
      <c r="B26" s="6">
        <v>24.08248137006635</v>
      </c>
      <c r="C26" s="6">
        <v>24.542529414019668</v>
      </c>
      <c r="D26" s="6">
        <v>24.24566849771805</v>
      </c>
      <c r="E26" s="6">
        <v>24.901535271387701</v>
      </c>
      <c r="F26" s="6">
        <v>23.778974135354989</v>
      </c>
      <c r="G26" s="7">
        <v>23.975531108117401</v>
      </c>
      <c r="H26" s="7">
        <v>24.43528679547158</v>
      </c>
      <c r="I26" s="7">
        <v>24.995390573158069</v>
      </c>
      <c r="J26" s="7">
        <v>24.90583554409173</v>
      </c>
      <c r="K26" s="7">
        <v>24.72789502677205</v>
      </c>
      <c r="L26" s="7">
        <v>24.901223989195401</v>
      </c>
      <c r="M26" s="7">
        <v>25.409694822965751</v>
      </c>
      <c r="N26" s="7">
        <v>24.81701436271797</v>
      </c>
      <c r="O26" s="7">
        <v>24.66357042875029</v>
      </c>
      <c r="P26" s="7">
        <v>25.548651710913209</v>
      </c>
      <c r="Q26" s="7">
        <v>25.740956536080791</v>
      </c>
      <c r="R26" s="7">
        <v>26.61293399186528</v>
      </c>
      <c r="S26" s="7">
        <v>25.669348740227189</v>
      </c>
      <c r="T26" s="7">
        <v>24.84083995151969</v>
      </c>
      <c r="U26" s="7">
        <v>25.770631480842891</v>
      </c>
      <c r="V26" s="7">
        <v>25.723803139696429</v>
      </c>
      <c r="W26" s="7">
        <v>27.252463112497949</v>
      </c>
      <c r="X26" s="7">
        <v>24.93954422402911</v>
      </c>
      <c r="Y26" s="7">
        <v>26.561381965005051</v>
      </c>
      <c r="Z26" s="7">
        <v>25.864773693276721</v>
      </c>
      <c r="AA26" s="7">
        <v>26.043601649644781</v>
      </c>
      <c r="AB26" s="7">
        <v>25.81302530189198</v>
      </c>
      <c r="AC26" s="7">
        <v>25.102131829883341</v>
      </c>
      <c r="AD26" s="7">
        <v>26.007556813747321</v>
      </c>
      <c r="AE26" s="7">
        <v>26.63596966401639</v>
      </c>
      <c r="AF26" s="7">
        <v>26.789696703354089</v>
      </c>
      <c r="AG26" s="7">
        <v>25.779966776447989</v>
      </c>
      <c r="AH26" s="7">
        <v>26.405431190920009</v>
      </c>
      <c r="AI26" s="7">
        <v>27.121080959574549</v>
      </c>
      <c r="AJ26" s="7">
        <v>27.490443492299441</v>
      </c>
      <c r="AK26" s="7">
        <v>26.646131706306711</v>
      </c>
      <c r="AL26" s="7">
        <v>27.667940122633219</v>
      </c>
      <c r="AM26" s="7">
        <v>27.153124583821299</v>
      </c>
      <c r="AN26" s="7">
        <v>27.882304694824722</v>
      </c>
      <c r="AO26" s="7">
        <v>27.032233255890372</v>
      </c>
      <c r="AP26" s="7">
        <v>27.291657427383569</v>
      </c>
      <c r="AQ26" s="7">
        <v>28.065488228125869</v>
      </c>
      <c r="AR26" s="7">
        <v>27.62989863256788</v>
      </c>
      <c r="AS26" s="10" t="s">
        <v>92</v>
      </c>
    </row>
    <row r="27" spans="1:45" x14ac:dyDescent="0.35">
      <c r="A27" s="8" t="s">
        <v>71</v>
      </c>
      <c r="B27" s="6">
        <v>25.23974074058879</v>
      </c>
      <c r="C27" s="6">
        <v>24.23682117150657</v>
      </c>
      <c r="D27" s="6">
        <v>24.221251336096081</v>
      </c>
      <c r="E27" s="6">
        <v>23.73706101269741</v>
      </c>
      <c r="F27" s="6">
        <v>24.783672478090459</v>
      </c>
      <c r="G27" s="7">
        <v>24.226453732322891</v>
      </c>
      <c r="H27" s="7">
        <v>24.442687483346909</v>
      </c>
      <c r="I27" s="7">
        <v>25.12039155724792</v>
      </c>
      <c r="J27" s="7">
        <v>24.663526271875089</v>
      </c>
      <c r="K27" s="7">
        <v>25.657001870485839</v>
      </c>
      <c r="L27" s="7">
        <v>25.193905935165368</v>
      </c>
      <c r="M27" s="7">
        <v>25.42915020480735</v>
      </c>
      <c r="N27" s="7">
        <v>24.45490431760361</v>
      </c>
      <c r="O27" s="7">
        <v>24.385598567694259</v>
      </c>
      <c r="P27" s="7">
        <v>25.403668499737531</v>
      </c>
      <c r="Q27" s="7">
        <v>25.505614588238981</v>
      </c>
      <c r="R27" s="7">
        <v>26.734752883842521</v>
      </c>
      <c r="S27" s="7">
        <v>25.856697281389561</v>
      </c>
      <c r="T27" s="7">
        <v>25.072254973839279</v>
      </c>
      <c r="U27" s="7">
        <v>25.49210512355311</v>
      </c>
      <c r="V27" s="7">
        <v>26.434078565340162</v>
      </c>
      <c r="W27" s="7">
        <v>26.844988676845169</v>
      </c>
      <c r="X27" s="7">
        <v>25.746046449427169</v>
      </c>
      <c r="Y27" s="7">
        <v>26.093943335495339</v>
      </c>
      <c r="Z27" s="7">
        <v>26.691353855237178</v>
      </c>
      <c r="AA27" s="7">
        <v>25.590379876495351</v>
      </c>
      <c r="AB27" s="7">
        <v>26.259081488515381</v>
      </c>
      <c r="AC27" s="7">
        <v>25.702895596710729</v>
      </c>
      <c r="AD27" s="7">
        <v>25.637829209446981</v>
      </c>
      <c r="AE27" s="7">
        <v>25.739179405534522</v>
      </c>
      <c r="AF27" s="7">
        <v>26.974731949354279</v>
      </c>
      <c r="AG27" s="7">
        <v>27.014842755641439</v>
      </c>
      <c r="AH27" s="7">
        <v>27.386798420719291</v>
      </c>
      <c r="AI27" s="7">
        <v>26.969749510479168</v>
      </c>
      <c r="AJ27" s="7">
        <v>27.821936129298411</v>
      </c>
      <c r="AK27" s="7">
        <v>26.794479210582899</v>
      </c>
      <c r="AL27" s="7">
        <v>27.30659719608833</v>
      </c>
      <c r="AM27" s="7">
        <v>27.778188592762419</v>
      </c>
      <c r="AN27" s="7">
        <v>26.75334337004093</v>
      </c>
      <c r="AO27" s="7">
        <v>26.848229684802529</v>
      </c>
      <c r="AP27" s="7">
        <v>27.15392204295582</v>
      </c>
      <c r="AQ27" s="7">
        <v>27.538289261663369</v>
      </c>
      <c r="AR27" s="7">
        <v>27.406078091002609</v>
      </c>
      <c r="AS27" s="10" t="s">
        <v>92</v>
      </c>
    </row>
    <row r="28" spans="1:45" ht="16" customHeight="1" x14ac:dyDescent="0.35">
      <c r="A28" s="8" t="s">
        <v>72</v>
      </c>
      <c r="B28" s="6">
        <v>19.46814207911267</v>
      </c>
      <c r="C28" s="6">
        <v>19.030588006854451</v>
      </c>
      <c r="D28" s="6">
        <v>18.737775604326689</v>
      </c>
      <c r="E28" s="6">
        <v>19.524324132740059</v>
      </c>
      <c r="F28" s="6">
        <v>19.936777914972541</v>
      </c>
      <c r="G28" s="7">
        <v>19.277729226168741</v>
      </c>
      <c r="H28" s="7">
        <v>19.344640494301181</v>
      </c>
      <c r="I28" s="7">
        <v>19.295004828978239</v>
      </c>
      <c r="J28" s="7">
        <v>18.950114417710338</v>
      </c>
      <c r="K28" s="7">
        <v>20.1760070050703</v>
      </c>
      <c r="L28" s="7">
        <v>20.10586712111202</v>
      </c>
      <c r="M28" s="7">
        <v>19.486156074300862</v>
      </c>
      <c r="N28" s="7">
        <v>19.360991854557621</v>
      </c>
      <c r="O28" s="7">
        <v>19.826052194046671</v>
      </c>
      <c r="P28" s="7">
        <v>19.788602530282571</v>
      </c>
      <c r="Q28" s="7">
        <v>19.520801396685741</v>
      </c>
      <c r="R28" s="7">
        <v>19.94214227054136</v>
      </c>
      <c r="S28" s="7">
        <v>20.299616155189121</v>
      </c>
      <c r="T28" s="7">
        <v>19.42673556567452</v>
      </c>
      <c r="U28" s="7">
        <v>20.16784229267309</v>
      </c>
      <c r="V28" s="7">
        <v>20.096637771322062</v>
      </c>
      <c r="W28" s="7">
        <v>20.406053506142921</v>
      </c>
      <c r="X28" s="7">
        <v>19.93102155060361</v>
      </c>
      <c r="Y28" s="7">
        <v>19.9901671726664</v>
      </c>
      <c r="Z28" s="7">
        <v>20.479807762559471</v>
      </c>
      <c r="AA28" s="7">
        <v>20.090519398736301</v>
      </c>
      <c r="AB28" s="7">
        <v>20.6445486252039</v>
      </c>
      <c r="AC28" s="7">
        <v>20.93242898004948</v>
      </c>
      <c r="AD28" s="7">
        <v>20.733556913756619</v>
      </c>
      <c r="AE28" s="7">
        <v>20.265169904138471</v>
      </c>
      <c r="AF28" s="7">
        <v>21.024734788576119</v>
      </c>
      <c r="AG28" s="7">
        <v>21.04205674335098</v>
      </c>
      <c r="AH28" s="7">
        <v>21.239583627993849</v>
      </c>
      <c r="AI28" s="7">
        <v>21.162658926636372</v>
      </c>
      <c r="AJ28" s="7">
        <v>20.737733069771171</v>
      </c>
      <c r="AK28" s="7">
        <v>21.172311634751829</v>
      </c>
      <c r="AL28" s="7">
        <v>21.08664249185545</v>
      </c>
      <c r="AM28" s="7">
        <v>21.677676490956149</v>
      </c>
      <c r="AN28" s="7">
        <v>20.96128280711628</v>
      </c>
      <c r="AO28" s="7">
        <v>21.734834213566209</v>
      </c>
      <c r="AP28" s="7">
        <v>20.9777762916084</v>
      </c>
      <c r="AQ28" s="7">
        <v>21.303130225614542</v>
      </c>
      <c r="AR28" s="7">
        <v>21.280807756252941</v>
      </c>
      <c r="AS28" s="10" t="s">
        <v>92</v>
      </c>
    </row>
    <row r="30" spans="1:45" x14ac:dyDescent="0.35">
      <c r="A30" s="1" t="s">
        <v>146</v>
      </c>
      <c r="B30" s="8">
        <v>2018</v>
      </c>
      <c r="C30" s="8">
        <v>2019</v>
      </c>
      <c r="D30" s="8">
        <v>2020</v>
      </c>
      <c r="E30" s="8">
        <v>2021</v>
      </c>
      <c r="F30" s="8">
        <v>2022</v>
      </c>
      <c r="G30" s="8">
        <v>2023</v>
      </c>
      <c r="H30" s="8">
        <v>2024</v>
      </c>
      <c r="I30" s="8">
        <v>2025</v>
      </c>
      <c r="J30" s="8">
        <v>2026</v>
      </c>
      <c r="K30" s="8">
        <v>2027</v>
      </c>
      <c r="L30" s="8">
        <v>2028</v>
      </c>
      <c r="M30" s="8">
        <v>2029</v>
      </c>
      <c r="N30" s="8">
        <v>2030</v>
      </c>
      <c r="O30" s="8">
        <v>2031</v>
      </c>
      <c r="P30" s="8">
        <v>2032</v>
      </c>
      <c r="Q30" s="8">
        <v>2033</v>
      </c>
      <c r="R30" s="8">
        <v>2034</v>
      </c>
      <c r="S30" s="8">
        <v>2035</v>
      </c>
      <c r="T30" s="8">
        <v>2036</v>
      </c>
      <c r="U30" s="8">
        <v>2037</v>
      </c>
      <c r="V30" s="8">
        <v>2038</v>
      </c>
      <c r="W30" s="8">
        <v>2039</v>
      </c>
      <c r="X30" s="8">
        <v>2040</v>
      </c>
      <c r="Y30" s="8">
        <v>2041</v>
      </c>
      <c r="Z30" s="8">
        <v>2042</v>
      </c>
      <c r="AA30" s="8">
        <v>2043</v>
      </c>
      <c r="AB30" s="8">
        <v>2044</v>
      </c>
      <c r="AC30" s="8">
        <v>2045</v>
      </c>
      <c r="AD30" s="8">
        <v>2046</v>
      </c>
      <c r="AE30" s="8">
        <v>2047</v>
      </c>
      <c r="AF30" s="8">
        <v>2048</v>
      </c>
      <c r="AG30" s="8">
        <v>2049</v>
      </c>
      <c r="AH30" s="8">
        <v>2050</v>
      </c>
      <c r="AI30" s="8">
        <v>2051</v>
      </c>
      <c r="AJ30" s="8">
        <v>2052</v>
      </c>
      <c r="AK30" s="8">
        <v>2053</v>
      </c>
      <c r="AL30" s="8">
        <v>2054</v>
      </c>
      <c r="AM30" s="8">
        <v>2055</v>
      </c>
      <c r="AN30" s="8">
        <v>2056</v>
      </c>
      <c r="AO30" s="8">
        <v>2057</v>
      </c>
      <c r="AP30" s="8">
        <v>2058</v>
      </c>
      <c r="AQ30" s="8">
        <v>2059</v>
      </c>
      <c r="AR30" s="8">
        <v>2060</v>
      </c>
      <c r="AS30" s="3" t="s">
        <v>39</v>
      </c>
    </row>
    <row r="31" spans="1:45" x14ac:dyDescent="0.35">
      <c r="A31" s="8" t="s">
        <v>73</v>
      </c>
      <c r="B31" s="6">
        <v>47.305689830596023</v>
      </c>
      <c r="C31" s="6">
        <v>67.019853138930657</v>
      </c>
      <c r="D31" s="6">
        <v>42.718819838802922</v>
      </c>
      <c r="E31" s="6">
        <v>52.405895326023483</v>
      </c>
      <c r="F31" s="6">
        <v>56.475066060250803</v>
      </c>
      <c r="G31" s="7">
        <v>63.072719981754631</v>
      </c>
      <c r="H31" s="7">
        <v>54.19116824028945</v>
      </c>
      <c r="I31" s="7">
        <v>50.654985062429652</v>
      </c>
      <c r="J31" s="7">
        <v>41.116213713866259</v>
      </c>
      <c r="K31" s="7">
        <v>39.445356422769379</v>
      </c>
      <c r="L31" s="7">
        <v>47.185986224521251</v>
      </c>
      <c r="M31" s="7">
        <v>65.382638061587926</v>
      </c>
      <c r="N31" s="7">
        <v>53.719997174039143</v>
      </c>
      <c r="O31" s="7">
        <v>61.435158011196812</v>
      </c>
      <c r="P31" s="7">
        <v>59.340041713132372</v>
      </c>
      <c r="Q31" s="7">
        <v>54.798403674608089</v>
      </c>
      <c r="R31" s="7">
        <v>48.015607834464447</v>
      </c>
      <c r="S31" s="7">
        <v>40.819024604037807</v>
      </c>
      <c r="T31" s="7">
        <v>53.769634796819979</v>
      </c>
      <c r="U31" s="7">
        <v>53.693214899673137</v>
      </c>
      <c r="V31" s="7">
        <v>52.1554197208349</v>
      </c>
      <c r="W31" s="7">
        <v>58.510714012816727</v>
      </c>
      <c r="X31" s="7">
        <v>60.307310706144527</v>
      </c>
      <c r="Y31" s="7">
        <v>85.77274098015441</v>
      </c>
      <c r="Z31" s="7">
        <v>51.245091041893438</v>
      </c>
      <c r="AA31" s="7">
        <v>47.382063019395183</v>
      </c>
      <c r="AB31" s="7">
        <v>35.109782507164191</v>
      </c>
      <c r="AC31" s="7">
        <v>43.613471882982317</v>
      </c>
      <c r="AD31" s="7">
        <v>74.907952600219886</v>
      </c>
      <c r="AE31" s="7">
        <v>42.320461274630063</v>
      </c>
      <c r="AF31" s="7">
        <v>40.840137284540283</v>
      </c>
      <c r="AG31" s="7">
        <v>49.861610907793747</v>
      </c>
      <c r="AH31" s="7">
        <v>68.25676092212079</v>
      </c>
      <c r="AI31" s="7">
        <v>41.194769097551777</v>
      </c>
      <c r="AJ31" s="7">
        <v>59.048719281040817</v>
      </c>
      <c r="AK31" s="7">
        <v>46.03890226832641</v>
      </c>
      <c r="AL31" s="7">
        <v>37.696248120489862</v>
      </c>
      <c r="AM31" s="7">
        <v>65.967149956281347</v>
      </c>
      <c r="AN31" s="7">
        <v>21.007893652957549</v>
      </c>
      <c r="AO31" s="7">
        <v>41.338513625102813</v>
      </c>
      <c r="AP31" s="7">
        <v>28.725665397005891</v>
      </c>
      <c r="AQ31" s="7">
        <v>49.462640129399936</v>
      </c>
      <c r="AR31" s="7">
        <v>70.492832121829196</v>
      </c>
      <c r="AS31" s="10" t="s">
        <v>148</v>
      </c>
    </row>
    <row r="32" spans="1:45" x14ac:dyDescent="0.35">
      <c r="A32" s="8" t="s">
        <v>74</v>
      </c>
      <c r="B32" s="6">
        <v>54.117723971138439</v>
      </c>
      <c r="C32" s="6">
        <v>42.711274399815323</v>
      </c>
      <c r="D32" s="6">
        <v>47.691286523300782</v>
      </c>
      <c r="E32" s="6">
        <v>42.73478863032814</v>
      </c>
      <c r="F32" s="6">
        <v>54.034952289789871</v>
      </c>
      <c r="G32" s="7">
        <v>75.040208974308825</v>
      </c>
      <c r="H32" s="7">
        <v>65.461201447540233</v>
      </c>
      <c r="I32" s="7">
        <v>49.529485745114229</v>
      </c>
      <c r="J32" s="7">
        <v>79.640512127172357</v>
      </c>
      <c r="K32" s="7">
        <v>49.225762850416963</v>
      </c>
      <c r="L32" s="7">
        <v>56.467349360097778</v>
      </c>
      <c r="M32" s="7">
        <v>53.069177094822557</v>
      </c>
      <c r="N32" s="7">
        <v>67.742646246131471</v>
      </c>
      <c r="O32" s="7">
        <v>71.336386994486816</v>
      </c>
      <c r="P32" s="7">
        <v>53.154734445370401</v>
      </c>
      <c r="Q32" s="7">
        <v>61.346140382389343</v>
      </c>
      <c r="R32" s="7">
        <v>46.168622134605343</v>
      </c>
      <c r="S32" s="7">
        <v>65.941796721821731</v>
      </c>
      <c r="T32" s="7">
        <v>39.557642466676292</v>
      </c>
      <c r="U32" s="7">
        <v>66.333978575472202</v>
      </c>
      <c r="V32" s="7">
        <v>57.413798186885018</v>
      </c>
      <c r="W32" s="7">
        <v>40.708914990491451</v>
      </c>
      <c r="X32" s="7">
        <v>79.988876000253214</v>
      </c>
      <c r="Y32" s="7">
        <v>60.831345519714169</v>
      </c>
      <c r="Z32" s="7">
        <v>79.101888332443735</v>
      </c>
      <c r="AA32" s="7">
        <v>42.280909047708043</v>
      </c>
      <c r="AB32" s="7">
        <v>37.469448742970513</v>
      </c>
      <c r="AC32" s="7">
        <v>62.481455265944582</v>
      </c>
      <c r="AD32" s="7">
        <v>56.553592380662323</v>
      </c>
      <c r="AE32" s="7">
        <v>46.451261904078109</v>
      </c>
      <c r="AF32" s="7">
        <v>93.913021030419046</v>
      </c>
      <c r="AG32" s="7">
        <v>59.182601228278443</v>
      </c>
      <c r="AH32" s="7">
        <v>37.524319967905441</v>
      </c>
      <c r="AI32" s="7">
        <v>54.76681059046728</v>
      </c>
      <c r="AJ32" s="7">
        <v>52.364744327240018</v>
      </c>
      <c r="AK32" s="7">
        <v>58.117308014925612</v>
      </c>
      <c r="AL32" s="7">
        <v>78.264382032672316</v>
      </c>
      <c r="AM32" s="7">
        <v>61.807471766102523</v>
      </c>
      <c r="AN32" s="7">
        <v>81.360615213115736</v>
      </c>
      <c r="AO32" s="7">
        <v>45.639576482114649</v>
      </c>
      <c r="AP32" s="7">
        <v>49.037091847500193</v>
      </c>
      <c r="AQ32" s="7">
        <v>67.857580882411554</v>
      </c>
      <c r="AR32" s="7">
        <v>37.46840369593226</v>
      </c>
      <c r="AS32" s="10" t="s">
        <v>148</v>
      </c>
    </row>
    <row r="33" spans="1:45" x14ac:dyDescent="0.35">
      <c r="A33" s="8" t="s">
        <v>75</v>
      </c>
      <c r="B33" s="6">
        <v>69.579901696110099</v>
      </c>
      <c r="C33" s="6">
        <v>61.964348354517398</v>
      </c>
      <c r="D33" s="6">
        <v>42.819767302552208</v>
      </c>
      <c r="E33" s="6">
        <v>70.611949830460034</v>
      </c>
      <c r="F33" s="6">
        <v>47.019140482448989</v>
      </c>
      <c r="G33" s="7">
        <v>69.092855876079284</v>
      </c>
      <c r="H33" s="7">
        <v>56.855838259266257</v>
      </c>
      <c r="I33" s="7">
        <v>53.513339405744652</v>
      </c>
      <c r="J33" s="7">
        <v>54.60906703309216</v>
      </c>
      <c r="K33" s="7">
        <v>41.064498828617197</v>
      </c>
      <c r="L33" s="7">
        <v>73.760659818523948</v>
      </c>
      <c r="M33" s="7">
        <v>59.235412490958083</v>
      </c>
      <c r="N33" s="7">
        <v>43.541218693197912</v>
      </c>
      <c r="O33" s="7">
        <v>54.766294598627312</v>
      </c>
      <c r="P33" s="7">
        <v>52.930985108301357</v>
      </c>
      <c r="Q33" s="7">
        <v>66.760794535330007</v>
      </c>
      <c r="R33" s="7">
        <v>60.030119320251309</v>
      </c>
      <c r="S33" s="7">
        <v>66.577519347117629</v>
      </c>
      <c r="T33" s="7">
        <v>62.157450510608967</v>
      </c>
      <c r="U33" s="7">
        <v>46.16721920674221</v>
      </c>
      <c r="V33" s="7">
        <v>43.111142962101347</v>
      </c>
      <c r="W33" s="7">
        <v>67.901307219709636</v>
      </c>
      <c r="X33" s="7">
        <v>68.436101423600334</v>
      </c>
      <c r="Y33" s="7">
        <v>33.491601000185561</v>
      </c>
      <c r="Z33" s="7">
        <v>76.569225802179503</v>
      </c>
      <c r="AA33" s="7">
        <v>58.418651713188979</v>
      </c>
      <c r="AB33" s="7">
        <v>79.986601230263787</v>
      </c>
      <c r="AC33" s="7">
        <v>60.501939821993339</v>
      </c>
      <c r="AD33" s="7">
        <v>60.206057141113888</v>
      </c>
      <c r="AE33" s="7">
        <v>42.026710830085413</v>
      </c>
      <c r="AF33" s="7">
        <v>73.027330961112582</v>
      </c>
      <c r="AG33" s="7">
        <v>52.157495434446581</v>
      </c>
      <c r="AH33" s="7">
        <v>70.307997545789476</v>
      </c>
      <c r="AI33" s="7">
        <v>75.013351273631088</v>
      </c>
      <c r="AJ33" s="7">
        <v>57.529647896324391</v>
      </c>
      <c r="AK33" s="7">
        <v>52.566112972725847</v>
      </c>
      <c r="AL33" s="7">
        <v>69.442682840497497</v>
      </c>
      <c r="AM33" s="7">
        <v>70.663485837952635</v>
      </c>
      <c r="AN33" s="7">
        <v>53.286676536287167</v>
      </c>
      <c r="AO33" s="7">
        <v>56.688802527425139</v>
      </c>
      <c r="AP33" s="7">
        <v>50.778946818139858</v>
      </c>
      <c r="AQ33" s="7">
        <v>55.41632745621812</v>
      </c>
      <c r="AR33" s="7">
        <v>67.531803628295762</v>
      </c>
      <c r="AS33" s="10" t="s">
        <v>148</v>
      </c>
    </row>
    <row r="34" spans="1:45" x14ac:dyDescent="0.35">
      <c r="A34" s="8" t="s">
        <v>64</v>
      </c>
      <c r="B34" s="6">
        <v>53.356636522706303</v>
      </c>
      <c r="C34" s="6">
        <v>47.614252991294677</v>
      </c>
      <c r="D34" s="6">
        <v>58.278518571701987</v>
      </c>
      <c r="E34" s="6">
        <v>69.810063822686317</v>
      </c>
      <c r="F34" s="6">
        <v>77.36201088595395</v>
      </c>
      <c r="G34" s="7">
        <v>45.547926961769477</v>
      </c>
      <c r="H34" s="7">
        <v>58.404814493979643</v>
      </c>
      <c r="I34" s="7">
        <v>63.362543275761801</v>
      </c>
      <c r="J34" s="7">
        <v>57.985700363603272</v>
      </c>
      <c r="K34" s="7">
        <v>53.82234316414479</v>
      </c>
      <c r="L34" s="7">
        <v>53.486323313734097</v>
      </c>
      <c r="M34" s="7">
        <v>46.195747477861502</v>
      </c>
      <c r="N34" s="7">
        <v>31.416163952635969</v>
      </c>
      <c r="O34" s="7">
        <v>39.315770230359711</v>
      </c>
      <c r="P34" s="7">
        <v>36.680214387564249</v>
      </c>
      <c r="Q34" s="7">
        <v>40.546732588033578</v>
      </c>
      <c r="R34" s="7">
        <v>64.92325612131124</v>
      </c>
      <c r="S34" s="7">
        <v>45.830093897324232</v>
      </c>
      <c r="T34" s="7">
        <v>58.630269312608903</v>
      </c>
      <c r="U34" s="7">
        <v>37.724134742378787</v>
      </c>
      <c r="V34" s="7">
        <v>50.589840258013702</v>
      </c>
      <c r="W34" s="7">
        <v>51.607678870535587</v>
      </c>
      <c r="X34" s="7">
        <v>53.618955079774842</v>
      </c>
      <c r="Y34" s="7">
        <v>39.430747635257482</v>
      </c>
      <c r="Z34" s="7">
        <v>51.549546558067682</v>
      </c>
      <c r="AA34" s="7">
        <v>61.257436693185987</v>
      </c>
      <c r="AB34" s="7">
        <v>36.416342531586842</v>
      </c>
      <c r="AC34" s="7">
        <v>51.60147786275315</v>
      </c>
      <c r="AD34" s="7">
        <v>48.185977387841362</v>
      </c>
      <c r="AE34" s="7">
        <v>47.563888263953267</v>
      </c>
      <c r="AF34" s="7">
        <v>56.727417386608963</v>
      </c>
      <c r="AG34" s="7">
        <v>70.683729546279011</v>
      </c>
      <c r="AH34" s="7">
        <v>64.686672635193943</v>
      </c>
      <c r="AI34" s="7">
        <v>52.123777805132669</v>
      </c>
      <c r="AJ34" s="7">
        <v>47.569749591948877</v>
      </c>
      <c r="AK34" s="7">
        <v>51.782914986836182</v>
      </c>
      <c r="AL34" s="7">
        <v>42.025473336971089</v>
      </c>
      <c r="AM34" s="7">
        <v>39.888321257023961</v>
      </c>
      <c r="AN34" s="7">
        <v>34.494095765507133</v>
      </c>
      <c r="AO34" s="7">
        <v>57.257385396505313</v>
      </c>
      <c r="AP34" s="7">
        <v>48.205231561172312</v>
      </c>
      <c r="AQ34" s="7">
        <v>46.264680389862242</v>
      </c>
      <c r="AR34" s="7">
        <v>45.510987025388367</v>
      </c>
      <c r="AS34" s="10" t="s">
        <v>148</v>
      </c>
    </row>
    <row r="35" spans="1:45" x14ac:dyDescent="0.35">
      <c r="A35" s="8" t="s">
        <v>65</v>
      </c>
      <c r="B35" s="6">
        <v>40.393766016095839</v>
      </c>
      <c r="C35" s="6">
        <v>53.981944691201292</v>
      </c>
      <c r="D35" s="6">
        <v>27.3395287686822</v>
      </c>
      <c r="E35" s="6">
        <v>65.705981742720155</v>
      </c>
      <c r="F35" s="6">
        <v>41.466601232665212</v>
      </c>
      <c r="G35" s="7">
        <v>44.327560691109909</v>
      </c>
      <c r="H35" s="7">
        <v>61.252378501638887</v>
      </c>
      <c r="I35" s="7">
        <v>44.139970404460513</v>
      </c>
      <c r="J35" s="7">
        <v>47.291559475564597</v>
      </c>
      <c r="K35" s="7">
        <v>56.985106624333511</v>
      </c>
      <c r="L35" s="7">
        <v>39.869521748007863</v>
      </c>
      <c r="M35" s="7">
        <v>30.351963418209149</v>
      </c>
      <c r="N35" s="7">
        <v>46.541446606463978</v>
      </c>
      <c r="O35" s="7">
        <v>43.337976234727932</v>
      </c>
      <c r="P35" s="7">
        <v>31.982168612559569</v>
      </c>
      <c r="Q35" s="7">
        <v>43.213546918840919</v>
      </c>
      <c r="R35" s="7">
        <v>41.062360715112597</v>
      </c>
      <c r="S35" s="7">
        <v>51.612146200725093</v>
      </c>
      <c r="T35" s="7">
        <v>39.28435426876726</v>
      </c>
      <c r="U35" s="7">
        <v>71.177376275526967</v>
      </c>
      <c r="V35" s="7">
        <v>39.016433143547253</v>
      </c>
      <c r="W35" s="7">
        <v>38.118681655961268</v>
      </c>
      <c r="X35" s="7">
        <v>40.400179106064478</v>
      </c>
      <c r="Y35" s="7">
        <v>37.589025195131939</v>
      </c>
      <c r="Z35" s="7">
        <v>53.865446730271103</v>
      </c>
      <c r="AA35" s="7">
        <v>44.699437292243317</v>
      </c>
      <c r="AB35" s="7">
        <v>45.885265630558223</v>
      </c>
      <c r="AC35" s="7">
        <v>40.478370644783233</v>
      </c>
      <c r="AD35" s="7">
        <v>57.474699870776107</v>
      </c>
      <c r="AE35" s="7">
        <v>33.71500638847386</v>
      </c>
      <c r="AF35" s="7">
        <v>22.322900881620559</v>
      </c>
      <c r="AG35" s="7">
        <v>44.476793785058483</v>
      </c>
      <c r="AH35" s="7">
        <v>43.710570584843623</v>
      </c>
      <c r="AI35" s="7">
        <v>42.447994044107347</v>
      </c>
      <c r="AJ35" s="7">
        <v>52.756467604173139</v>
      </c>
      <c r="AK35" s="7">
        <v>57.166582722256813</v>
      </c>
      <c r="AL35" s="7">
        <v>52.056487296155979</v>
      </c>
      <c r="AM35" s="7">
        <v>42.774568458627847</v>
      </c>
      <c r="AN35" s="7">
        <v>34.664787389298837</v>
      </c>
      <c r="AO35" s="7">
        <v>56.403217367573909</v>
      </c>
      <c r="AP35" s="7">
        <v>29.126546649279529</v>
      </c>
      <c r="AQ35" s="7">
        <v>48.18812468754772</v>
      </c>
      <c r="AR35" s="7">
        <v>54.594981369123403</v>
      </c>
      <c r="AS35" s="10" t="s">
        <v>148</v>
      </c>
    </row>
    <row r="36" spans="1:45" x14ac:dyDescent="0.35">
      <c r="A36" s="8" t="s">
        <v>66</v>
      </c>
      <c r="B36" s="6">
        <v>38.087521798621658</v>
      </c>
      <c r="C36" s="6">
        <v>57.035734419118363</v>
      </c>
      <c r="D36" s="6">
        <v>49.373715562854287</v>
      </c>
      <c r="E36" s="6">
        <v>59.162866237828162</v>
      </c>
      <c r="F36" s="6">
        <v>52.716307351929117</v>
      </c>
      <c r="G36" s="7">
        <v>83.11257455407889</v>
      </c>
      <c r="H36" s="7">
        <v>64.59445292252056</v>
      </c>
      <c r="I36" s="7">
        <v>60.239286820265249</v>
      </c>
      <c r="J36" s="7">
        <v>58.399814641524308</v>
      </c>
      <c r="K36" s="7">
        <v>65.55190791442952</v>
      </c>
      <c r="L36" s="7">
        <v>49.289364666236622</v>
      </c>
      <c r="M36" s="7">
        <v>64.210586857684817</v>
      </c>
      <c r="N36" s="7">
        <v>44.470297543376951</v>
      </c>
      <c r="O36" s="7">
        <v>48.373558859474173</v>
      </c>
      <c r="P36" s="7">
        <v>50.699463732714371</v>
      </c>
      <c r="Q36" s="7">
        <v>52.743449847353958</v>
      </c>
      <c r="R36" s="7">
        <v>38.984226550551263</v>
      </c>
      <c r="S36" s="7">
        <v>47.329570965732429</v>
      </c>
      <c r="T36" s="7">
        <v>43.483411563161503</v>
      </c>
      <c r="U36" s="7">
        <v>53.566769541962472</v>
      </c>
      <c r="V36" s="7">
        <v>34.526538284471897</v>
      </c>
      <c r="W36" s="7">
        <v>50.883241156663587</v>
      </c>
      <c r="X36" s="7">
        <v>37.583853403717796</v>
      </c>
      <c r="Y36" s="7">
        <v>48.565736194577063</v>
      </c>
      <c r="Z36" s="7">
        <v>39.037992205474431</v>
      </c>
      <c r="AA36" s="7">
        <v>49.23048131117767</v>
      </c>
      <c r="AB36" s="7">
        <v>53.291527644349188</v>
      </c>
      <c r="AC36" s="7">
        <v>43.805871979061592</v>
      </c>
      <c r="AD36" s="7">
        <v>72.948331528355567</v>
      </c>
      <c r="AE36" s="7">
        <v>50.891033975579568</v>
      </c>
      <c r="AF36" s="7">
        <v>45.104002276313317</v>
      </c>
      <c r="AG36" s="7">
        <v>52.062836961444887</v>
      </c>
      <c r="AH36" s="7">
        <v>39.750795315008638</v>
      </c>
      <c r="AI36" s="7">
        <v>47.794880701208029</v>
      </c>
      <c r="AJ36" s="7">
        <v>51.54861222456325</v>
      </c>
      <c r="AK36" s="7">
        <v>52.524193065152502</v>
      </c>
      <c r="AL36" s="7">
        <v>73.785088912055869</v>
      </c>
      <c r="AM36" s="7">
        <v>52.51666961460343</v>
      </c>
      <c r="AN36" s="7">
        <v>56.550349878212778</v>
      </c>
      <c r="AO36" s="7">
        <v>57.58644063630075</v>
      </c>
      <c r="AP36" s="7">
        <v>47.371718745230318</v>
      </c>
      <c r="AQ36" s="7">
        <v>49.512703834273317</v>
      </c>
      <c r="AR36" s="7">
        <v>34.603495943981073</v>
      </c>
      <c r="AS36" s="10" t="s">
        <v>148</v>
      </c>
    </row>
    <row r="37" spans="1:45" x14ac:dyDescent="0.35">
      <c r="A37" s="8" t="s">
        <v>67</v>
      </c>
      <c r="B37" s="6">
        <v>49.010450072462021</v>
      </c>
      <c r="C37" s="6">
        <v>47.66829655352754</v>
      </c>
      <c r="D37" s="6">
        <v>53.201552718721288</v>
      </c>
      <c r="E37" s="6">
        <v>46.291260556117933</v>
      </c>
      <c r="F37" s="6">
        <v>53.092798439917267</v>
      </c>
      <c r="G37" s="7">
        <v>44.95185686042749</v>
      </c>
      <c r="H37" s="7">
        <v>60.367354086925559</v>
      </c>
      <c r="I37" s="7">
        <v>33.594561561502609</v>
      </c>
      <c r="J37" s="7">
        <v>56.226143633505323</v>
      </c>
      <c r="K37" s="7">
        <v>45.783957489595537</v>
      </c>
      <c r="L37" s="7">
        <v>36.325966509929003</v>
      </c>
      <c r="M37" s="7">
        <v>68.341145121717176</v>
      </c>
      <c r="N37" s="7">
        <v>55.668684035067002</v>
      </c>
      <c r="O37" s="7">
        <v>46.156322931303123</v>
      </c>
      <c r="P37" s="7">
        <v>45.279429855345491</v>
      </c>
      <c r="Q37" s="7">
        <v>53.796613098334241</v>
      </c>
      <c r="R37" s="7">
        <v>49.387941609646369</v>
      </c>
      <c r="S37" s="7">
        <v>45.870717878251007</v>
      </c>
      <c r="T37" s="7">
        <v>55.681538973677668</v>
      </c>
      <c r="U37" s="7">
        <v>64.050393709711514</v>
      </c>
      <c r="V37" s="7">
        <v>21.303517894951671</v>
      </c>
      <c r="W37" s="7">
        <v>42.883874124788662</v>
      </c>
      <c r="X37" s="7">
        <v>51.196119320363657</v>
      </c>
      <c r="Y37" s="7">
        <v>48.056372262181178</v>
      </c>
      <c r="Z37" s="7">
        <v>44.742261724684873</v>
      </c>
      <c r="AA37" s="7">
        <v>54.548528430842289</v>
      </c>
      <c r="AB37" s="7">
        <v>48.882425323298797</v>
      </c>
      <c r="AC37" s="7">
        <v>44.097536600071813</v>
      </c>
      <c r="AD37" s="7">
        <v>50.458003595909688</v>
      </c>
      <c r="AE37" s="7">
        <v>48.797838283634043</v>
      </c>
      <c r="AF37" s="7">
        <v>52.322567812202387</v>
      </c>
      <c r="AG37" s="7">
        <v>59.551449047697567</v>
      </c>
      <c r="AH37" s="7">
        <v>42.58493994906754</v>
      </c>
      <c r="AI37" s="7">
        <v>52.990374579435631</v>
      </c>
      <c r="AJ37" s="7">
        <v>45.492840810741207</v>
      </c>
      <c r="AK37" s="7">
        <v>43.498367866631241</v>
      </c>
      <c r="AL37" s="7">
        <v>37.455015228772659</v>
      </c>
      <c r="AM37" s="7">
        <v>55.294291192134153</v>
      </c>
      <c r="AN37" s="7">
        <v>51.988465479274858</v>
      </c>
      <c r="AO37" s="7">
        <v>49.056043238228987</v>
      </c>
      <c r="AP37" s="7">
        <v>45.158461248547709</v>
      </c>
      <c r="AQ37" s="7">
        <v>49.526600628408737</v>
      </c>
      <c r="AR37" s="7">
        <v>49.561149150855492</v>
      </c>
      <c r="AS37" s="10" t="s">
        <v>148</v>
      </c>
    </row>
    <row r="38" spans="1:45" x14ac:dyDescent="0.35">
      <c r="A38" s="8" t="s">
        <v>68</v>
      </c>
      <c r="B38" s="6">
        <v>54.705105280304387</v>
      </c>
      <c r="C38" s="6">
        <v>62.535633103065898</v>
      </c>
      <c r="D38" s="6">
        <v>42.548978897914147</v>
      </c>
      <c r="E38" s="6">
        <v>59.905154897506073</v>
      </c>
      <c r="F38" s="6">
        <v>63.396474897093597</v>
      </c>
      <c r="G38" s="7">
        <v>65.49005234465524</v>
      </c>
      <c r="H38" s="7">
        <v>76.933856284476832</v>
      </c>
      <c r="I38" s="7">
        <v>61.040638198287773</v>
      </c>
      <c r="J38" s="7">
        <v>68.331028708759689</v>
      </c>
      <c r="K38" s="7">
        <v>60.363849724981101</v>
      </c>
      <c r="L38" s="7">
        <v>54.837414705004953</v>
      </c>
      <c r="M38" s="7">
        <v>53.918358943836552</v>
      </c>
      <c r="N38" s="7">
        <v>47.015008323975572</v>
      </c>
      <c r="O38" s="7">
        <v>47.075908893055143</v>
      </c>
      <c r="P38" s="7">
        <v>47.697723132001713</v>
      </c>
      <c r="Q38" s="7">
        <v>62.215911177491023</v>
      </c>
      <c r="R38" s="7">
        <v>78.938824191632435</v>
      </c>
      <c r="S38" s="7">
        <v>84.561835929333938</v>
      </c>
      <c r="T38" s="7">
        <v>53.347970513773852</v>
      </c>
      <c r="U38" s="7">
        <v>55.239740555920967</v>
      </c>
      <c r="V38" s="7">
        <v>68.242302776083136</v>
      </c>
      <c r="W38" s="7">
        <v>56.310046259138709</v>
      </c>
      <c r="X38" s="7">
        <v>63.563853683746657</v>
      </c>
      <c r="Y38" s="7">
        <v>49.5881712839562</v>
      </c>
      <c r="Z38" s="7">
        <v>53.679136934196933</v>
      </c>
      <c r="AA38" s="7">
        <v>44.718714761142877</v>
      </c>
      <c r="AB38" s="7">
        <v>50.532583925345513</v>
      </c>
      <c r="AC38" s="7">
        <v>58.944108279023958</v>
      </c>
      <c r="AD38" s="7">
        <v>73.654567136324786</v>
      </c>
      <c r="AE38" s="7">
        <v>53.739941778622857</v>
      </c>
      <c r="AF38" s="7">
        <v>75.056312289077468</v>
      </c>
      <c r="AG38" s="7">
        <v>84.29291747178047</v>
      </c>
      <c r="AH38" s="7">
        <v>73.882003640784632</v>
      </c>
      <c r="AI38" s="7">
        <v>61.128255832984429</v>
      </c>
      <c r="AJ38" s="7">
        <v>47.875223630403042</v>
      </c>
      <c r="AK38" s="7">
        <v>74.414521622119352</v>
      </c>
      <c r="AL38" s="7">
        <v>68.238408623395387</v>
      </c>
      <c r="AM38" s="7">
        <v>65.840030275465097</v>
      </c>
      <c r="AN38" s="7">
        <v>81.420049719154719</v>
      </c>
      <c r="AO38" s="7">
        <v>56.773089878701732</v>
      </c>
      <c r="AP38" s="7">
        <v>73.178948931057093</v>
      </c>
      <c r="AQ38" s="7">
        <v>65.105198902303371</v>
      </c>
      <c r="AR38" s="7">
        <v>71.857961562200046</v>
      </c>
      <c r="AS38" s="10" t="s">
        <v>148</v>
      </c>
    </row>
    <row r="39" spans="1:45" x14ac:dyDescent="0.35">
      <c r="A39" s="8" t="s">
        <v>69</v>
      </c>
      <c r="B39" s="6">
        <v>55.008582282523179</v>
      </c>
      <c r="C39" s="6">
        <v>54.230160905354957</v>
      </c>
      <c r="D39" s="6">
        <v>74.646658064715183</v>
      </c>
      <c r="E39" s="6">
        <v>62.430173889766102</v>
      </c>
      <c r="F39" s="6">
        <v>66.780190904156399</v>
      </c>
      <c r="G39" s="7">
        <v>56.826856518142037</v>
      </c>
      <c r="H39" s="7">
        <v>57.799958912523813</v>
      </c>
      <c r="I39" s="7">
        <v>75.657784869944905</v>
      </c>
      <c r="J39" s="7">
        <v>81.223242645495475</v>
      </c>
      <c r="K39" s="7">
        <v>71.702563602846809</v>
      </c>
      <c r="L39" s="7">
        <v>53.434799020348727</v>
      </c>
      <c r="M39" s="7">
        <v>55.929943696740949</v>
      </c>
      <c r="N39" s="7">
        <v>60.030018755187058</v>
      </c>
      <c r="O39" s="7">
        <v>58.95138822612337</v>
      </c>
      <c r="P39" s="7">
        <v>58.849022950223763</v>
      </c>
      <c r="Q39" s="7">
        <v>88.633483072552693</v>
      </c>
      <c r="R39" s="7">
        <v>69.941546312739092</v>
      </c>
      <c r="S39" s="7">
        <v>73.41027989333773</v>
      </c>
      <c r="T39" s="7">
        <v>73.551245987261524</v>
      </c>
      <c r="U39" s="7">
        <v>58.508561240082059</v>
      </c>
      <c r="V39" s="7">
        <v>84.275625839433644</v>
      </c>
      <c r="W39" s="7">
        <v>59.378775803064961</v>
      </c>
      <c r="X39" s="7">
        <v>85.321807702249529</v>
      </c>
      <c r="Y39" s="7">
        <v>86.977864529767544</v>
      </c>
      <c r="Z39" s="7">
        <v>55.769810005521848</v>
      </c>
      <c r="AA39" s="7">
        <v>49.277291789870013</v>
      </c>
      <c r="AB39" s="7">
        <v>69.467240393492176</v>
      </c>
      <c r="AC39" s="7">
        <v>66.567988605784137</v>
      </c>
      <c r="AD39" s="7">
        <v>85.824326312986187</v>
      </c>
      <c r="AE39" s="7">
        <v>43.409537921413119</v>
      </c>
      <c r="AF39" s="7">
        <v>65.738895800379638</v>
      </c>
      <c r="AG39" s="7">
        <v>78.476813257855071</v>
      </c>
      <c r="AH39" s="7">
        <v>64.200614800559009</v>
      </c>
      <c r="AI39" s="7">
        <v>56.184542346778372</v>
      </c>
      <c r="AJ39" s="7">
        <v>81.135383594152145</v>
      </c>
      <c r="AK39" s="7">
        <v>72.764492691975406</v>
      </c>
      <c r="AL39" s="7">
        <v>69.420621838212242</v>
      </c>
      <c r="AM39" s="7">
        <v>70.996515292288009</v>
      </c>
      <c r="AN39" s="7">
        <v>63.885671282010577</v>
      </c>
      <c r="AO39" s="7">
        <v>58.839402395960512</v>
      </c>
      <c r="AP39" s="7">
        <v>60.502532383135161</v>
      </c>
      <c r="AQ39" s="7">
        <v>59.428106230421797</v>
      </c>
      <c r="AR39" s="7">
        <v>69.096982751923719</v>
      </c>
      <c r="AS39" s="10" t="s">
        <v>148</v>
      </c>
    </row>
    <row r="40" spans="1:45" x14ac:dyDescent="0.35">
      <c r="A40" s="8" t="s">
        <v>70</v>
      </c>
      <c r="B40" s="6">
        <v>47.288272972499222</v>
      </c>
      <c r="C40" s="6">
        <v>45.125757837499563</v>
      </c>
      <c r="D40" s="6">
        <v>48.309573688182127</v>
      </c>
      <c r="E40" s="6">
        <v>64.947173620725508</v>
      </c>
      <c r="F40" s="6">
        <v>54.010078114492863</v>
      </c>
      <c r="G40" s="7">
        <v>57.069990214039983</v>
      </c>
      <c r="H40" s="7">
        <v>46.982415625503599</v>
      </c>
      <c r="I40" s="7">
        <v>73.613491333318663</v>
      </c>
      <c r="J40" s="7">
        <v>40.571214648450628</v>
      </c>
      <c r="K40" s="7">
        <v>35.71124041308871</v>
      </c>
      <c r="L40" s="7">
        <v>73.436519682710312</v>
      </c>
      <c r="M40" s="7">
        <v>55.212081880395012</v>
      </c>
      <c r="N40" s="7">
        <v>55.150852216747992</v>
      </c>
      <c r="O40" s="7">
        <v>58.729423111993412</v>
      </c>
      <c r="P40" s="7">
        <v>64.569232286080847</v>
      </c>
      <c r="Q40" s="7">
        <v>78.571358053244907</v>
      </c>
      <c r="R40" s="7">
        <v>59.637288163489117</v>
      </c>
      <c r="S40" s="7">
        <v>65.877138677739026</v>
      </c>
      <c r="T40" s="7">
        <v>55.314279628661552</v>
      </c>
      <c r="U40" s="7">
        <v>53.632274444391733</v>
      </c>
      <c r="V40" s="7">
        <v>59.08581243409467</v>
      </c>
      <c r="W40" s="7">
        <v>45.822560072890838</v>
      </c>
      <c r="X40" s="7">
        <v>60.196957957590037</v>
      </c>
      <c r="Y40" s="7">
        <v>46.382538291395001</v>
      </c>
      <c r="Z40" s="7">
        <v>49.384346431525813</v>
      </c>
      <c r="AA40" s="7">
        <v>56.225772866418488</v>
      </c>
      <c r="AB40" s="7">
        <v>57.33380874718987</v>
      </c>
      <c r="AC40" s="7">
        <v>37.007070393798493</v>
      </c>
      <c r="AD40" s="7">
        <v>60.557188353886559</v>
      </c>
      <c r="AE40" s="7">
        <v>63.16985195019226</v>
      </c>
      <c r="AF40" s="7">
        <v>42.619232018240979</v>
      </c>
      <c r="AG40" s="7">
        <v>39.033387463005397</v>
      </c>
      <c r="AH40" s="7">
        <v>44.591623454608843</v>
      </c>
      <c r="AI40" s="7">
        <v>48.632116517995662</v>
      </c>
      <c r="AJ40" s="7">
        <v>59.409485481737349</v>
      </c>
      <c r="AK40" s="7">
        <v>55.856058293780499</v>
      </c>
      <c r="AL40" s="7">
        <v>63.809229179086238</v>
      </c>
      <c r="AM40" s="7">
        <v>56.784994558359223</v>
      </c>
      <c r="AN40" s="7">
        <v>41.935286092781567</v>
      </c>
      <c r="AO40" s="7">
        <v>54.968120824123027</v>
      </c>
      <c r="AP40" s="7">
        <v>58.326949238239258</v>
      </c>
      <c r="AQ40" s="7">
        <v>51.040925804091373</v>
      </c>
      <c r="AR40" s="7">
        <v>44.404785848981248</v>
      </c>
      <c r="AS40" s="10" t="s">
        <v>148</v>
      </c>
    </row>
    <row r="41" spans="1:45" x14ac:dyDescent="0.35">
      <c r="A41" s="8" t="s">
        <v>71</v>
      </c>
      <c r="B41" s="6">
        <v>33.640904849315042</v>
      </c>
      <c r="C41" s="6">
        <v>51.50194457288179</v>
      </c>
      <c r="D41" s="6">
        <v>29.870796519159359</v>
      </c>
      <c r="E41" s="6">
        <v>31.599769844297921</v>
      </c>
      <c r="F41" s="6">
        <v>39.255631028858858</v>
      </c>
      <c r="G41" s="7">
        <v>26.828274252039641</v>
      </c>
      <c r="H41" s="7">
        <v>71.901450395205671</v>
      </c>
      <c r="I41" s="7">
        <v>43.957628784351172</v>
      </c>
      <c r="J41" s="7">
        <v>33.480935449824052</v>
      </c>
      <c r="K41" s="7">
        <v>43.501701827407793</v>
      </c>
      <c r="L41" s="7">
        <v>34.830297606499421</v>
      </c>
      <c r="M41" s="7">
        <v>40.45301750670842</v>
      </c>
      <c r="N41" s="7">
        <v>48.117684292515428</v>
      </c>
      <c r="O41" s="7">
        <v>37.128117838062593</v>
      </c>
      <c r="P41" s="7">
        <v>40.74844412998187</v>
      </c>
      <c r="Q41" s="7">
        <v>43.009204602404942</v>
      </c>
      <c r="R41" s="7">
        <v>51.806207017853033</v>
      </c>
      <c r="S41" s="7">
        <v>23.939210313201261</v>
      </c>
      <c r="T41" s="7">
        <v>46.239016923334447</v>
      </c>
      <c r="U41" s="7">
        <v>33.675648359229292</v>
      </c>
      <c r="V41" s="7">
        <v>60.958921826454677</v>
      </c>
      <c r="W41" s="7">
        <v>43.834220461100642</v>
      </c>
      <c r="X41" s="7">
        <v>50.561095258107237</v>
      </c>
      <c r="Y41" s="7">
        <v>38.738377957831631</v>
      </c>
      <c r="Z41" s="7">
        <v>54.739687106860053</v>
      </c>
      <c r="AA41" s="7">
        <v>44.96722246926111</v>
      </c>
      <c r="AB41" s="7">
        <v>32.15722683004558</v>
      </c>
      <c r="AC41" s="7">
        <v>39.961779180076682</v>
      </c>
      <c r="AD41" s="7">
        <v>69.399670518039784</v>
      </c>
      <c r="AE41" s="7">
        <v>33.744247644851747</v>
      </c>
      <c r="AF41" s="7">
        <v>36.771089637768441</v>
      </c>
      <c r="AG41" s="7">
        <v>31.431005882019111</v>
      </c>
      <c r="AH41" s="7">
        <v>47.064078514480613</v>
      </c>
      <c r="AI41" s="7">
        <v>36.77129199363327</v>
      </c>
      <c r="AJ41" s="7">
        <v>30.767441568011211</v>
      </c>
      <c r="AK41" s="7">
        <v>38.281091502151298</v>
      </c>
      <c r="AL41" s="7">
        <v>42.576052205998479</v>
      </c>
      <c r="AM41" s="7">
        <v>34.505424210505709</v>
      </c>
      <c r="AN41" s="7">
        <v>34.521082157285612</v>
      </c>
      <c r="AO41" s="7">
        <v>38.111473158067511</v>
      </c>
      <c r="AP41" s="7">
        <v>44.830636712414453</v>
      </c>
      <c r="AQ41" s="7">
        <v>34.200297457495751</v>
      </c>
      <c r="AR41" s="7">
        <v>26.785562825628549</v>
      </c>
      <c r="AS41" s="10" t="s">
        <v>148</v>
      </c>
    </row>
    <row r="42" spans="1:45" x14ac:dyDescent="0.35">
      <c r="A42" s="8" t="s">
        <v>72</v>
      </c>
      <c r="B42" s="6">
        <v>52.065911741267811</v>
      </c>
      <c r="C42" s="6">
        <v>41.422188881727209</v>
      </c>
      <c r="D42" s="6">
        <v>54.218046857646243</v>
      </c>
      <c r="E42" s="6">
        <v>78.528458950553713</v>
      </c>
      <c r="F42" s="6">
        <v>66.178322393751273</v>
      </c>
      <c r="G42" s="7">
        <v>43.860721611577823</v>
      </c>
      <c r="H42" s="7">
        <v>38.363538247779537</v>
      </c>
      <c r="I42" s="7">
        <v>50.542821668974391</v>
      </c>
      <c r="J42" s="7">
        <v>58.372211653671023</v>
      </c>
      <c r="K42" s="7">
        <v>55.830638659478957</v>
      </c>
      <c r="L42" s="7">
        <v>46.809814136432003</v>
      </c>
      <c r="M42" s="7">
        <v>46.620856327864061</v>
      </c>
      <c r="N42" s="7">
        <v>48.129166714481123</v>
      </c>
      <c r="O42" s="7">
        <v>58.875856347407819</v>
      </c>
      <c r="P42" s="7">
        <v>65.04922616459362</v>
      </c>
      <c r="Q42" s="7">
        <v>43.554316969547799</v>
      </c>
      <c r="R42" s="7">
        <v>40.075610955815371</v>
      </c>
      <c r="S42" s="7">
        <v>60.142965580107123</v>
      </c>
      <c r="T42" s="7">
        <v>50.494354133213619</v>
      </c>
      <c r="U42" s="7">
        <v>52.382841044757811</v>
      </c>
      <c r="V42" s="7">
        <v>44.343256968708047</v>
      </c>
      <c r="W42" s="7">
        <v>30.321578702320981</v>
      </c>
      <c r="X42" s="7">
        <v>64.82021746190992</v>
      </c>
      <c r="Y42" s="7">
        <v>51.624475590276973</v>
      </c>
      <c r="Z42" s="7">
        <v>49.077567660865817</v>
      </c>
      <c r="AA42" s="7">
        <v>30.743497153298929</v>
      </c>
      <c r="AB42" s="7">
        <v>32.83727599445826</v>
      </c>
      <c r="AC42" s="7">
        <v>51.446071880749258</v>
      </c>
      <c r="AD42" s="7">
        <v>59.896451787193158</v>
      </c>
      <c r="AE42" s="7">
        <v>43.950779397476921</v>
      </c>
      <c r="AF42" s="7">
        <v>41.241102930574158</v>
      </c>
      <c r="AG42" s="7">
        <v>36.20724901484639</v>
      </c>
      <c r="AH42" s="7">
        <v>28.21768199823908</v>
      </c>
      <c r="AI42" s="7">
        <v>35.09723603535199</v>
      </c>
      <c r="AJ42" s="7">
        <v>52.740493505853102</v>
      </c>
      <c r="AK42" s="7">
        <v>49.055361582099273</v>
      </c>
      <c r="AL42" s="7">
        <v>39.421598499318307</v>
      </c>
      <c r="AM42" s="7">
        <v>64.392452986198748</v>
      </c>
      <c r="AN42" s="7">
        <v>50.407428911941579</v>
      </c>
      <c r="AO42" s="7">
        <v>39.112921734843262</v>
      </c>
      <c r="AP42" s="7">
        <v>50.303277243577433</v>
      </c>
      <c r="AQ42" s="7">
        <v>28.735149676324781</v>
      </c>
      <c r="AR42" s="7">
        <v>55.015163378398597</v>
      </c>
      <c r="AS42" s="10" t="s">
        <v>148</v>
      </c>
    </row>
    <row r="44" spans="1:45" x14ac:dyDescent="0.35">
      <c r="A44" s="1" t="s">
        <v>147</v>
      </c>
      <c r="B44" s="8">
        <v>2018</v>
      </c>
      <c r="C44" s="8">
        <v>2019</v>
      </c>
      <c r="D44" s="8">
        <v>2020</v>
      </c>
      <c r="E44" s="8">
        <v>2021</v>
      </c>
      <c r="F44" s="8">
        <v>2022</v>
      </c>
      <c r="G44" s="8">
        <v>2023</v>
      </c>
      <c r="H44" s="8">
        <v>2024</v>
      </c>
      <c r="I44" s="8">
        <v>2025</v>
      </c>
      <c r="J44" s="8">
        <v>2026</v>
      </c>
      <c r="K44" s="8">
        <v>2027</v>
      </c>
      <c r="L44" s="8">
        <v>2028</v>
      </c>
      <c r="M44" s="8">
        <v>2029</v>
      </c>
      <c r="N44" s="8">
        <v>2030</v>
      </c>
      <c r="O44" s="8">
        <v>2031</v>
      </c>
      <c r="P44" s="8">
        <v>2032</v>
      </c>
      <c r="Q44" s="8">
        <v>2033</v>
      </c>
      <c r="R44" s="8">
        <v>2034</v>
      </c>
      <c r="S44" s="8">
        <v>2035</v>
      </c>
      <c r="T44" s="8">
        <v>2036</v>
      </c>
      <c r="U44" s="8">
        <v>2037</v>
      </c>
      <c r="V44" s="8">
        <v>2038</v>
      </c>
      <c r="W44" s="8">
        <v>2039</v>
      </c>
      <c r="X44" s="8">
        <v>2040</v>
      </c>
      <c r="Y44" s="8">
        <v>2041</v>
      </c>
      <c r="Z44" s="8">
        <v>2042</v>
      </c>
      <c r="AA44" s="8">
        <v>2043</v>
      </c>
      <c r="AB44" s="8">
        <v>2044</v>
      </c>
      <c r="AC44" s="8">
        <v>2045</v>
      </c>
      <c r="AD44" s="8">
        <v>2046</v>
      </c>
      <c r="AE44" s="8">
        <v>2047</v>
      </c>
      <c r="AF44" s="8">
        <v>2048</v>
      </c>
      <c r="AG44" s="8">
        <v>2049</v>
      </c>
      <c r="AH44" s="8">
        <v>2050</v>
      </c>
      <c r="AI44" s="8">
        <v>2051</v>
      </c>
      <c r="AJ44" s="8">
        <v>2052</v>
      </c>
      <c r="AK44" s="8">
        <v>2053</v>
      </c>
      <c r="AL44" s="8">
        <v>2054</v>
      </c>
      <c r="AM44" s="8">
        <v>2055</v>
      </c>
      <c r="AN44" s="8">
        <v>2056</v>
      </c>
      <c r="AO44" s="8">
        <v>2057</v>
      </c>
      <c r="AP44" s="8">
        <v>2058</v>
      </c>
      <c r="AQ44" s="8">
        <v>2059</v>
      </c>
      <c r="AR44" s="8">
        <v>2060</v>
      </c>
      <c r="AS44" s="3" t="s">
        <v>39</v>
      </c>
    </row>
    <row r="45" spans="1:45" x14ac:dyDescent="0.35">
      <c r="A45" s="8" t="s">
        <v>73</v>
      </c>
      <c r="B45" s="6">
        <v>61.73914454782647</v>
      </c>
      <c r="C45" s="6">
        <v>42.906916929459612</v>
      </c>
      <c r="D45" s="6">
        <v>45.177366436441801</v>
      </c>
      <c r="E45" s="6">
        <v>34.017941703654962</v>
      </c>
      <c r="F45" s="6">
        <v>49.104702639805843</v>
      </c>
      <c r="G45" s="7">
        <v>53.020923967942842</v>
      </c>
      <c r="H45" s="7">
        <v>65.433074945459097</v>
      </c>
      <c r="I45" s="7">
        <v>37.990795276303203</v>
      </c>
      <c r="J45" s="7">
        <v>37.370304282399019</v>
      </c>
      <c r="K45" s="7">
        <v>39.528616780075893</v>
      </c>
      <c r="L45" s="7">
        <v>57.56361031353773</v>
      </c>
      <c r="M45" s="7">
        <v>73.416785111200809</v>
      </c>
      <c r="N45" s="7">
        <v>68.902490193025869</v>
      </c>
      <c r="O45" s="7">
        <v>47.142465185310677</v>
      </c>
      <c r="P45" s="7">
        <v>66.241816749730077</v>
      </c>
      <c r="Q45" s="7">
        <v>41.226098562885312</v>
      </c>
      <c r="R45" s="7">
        <v>37.332452589765538</v>
      </c>
      <c r="S45" s="7">
        <v>73.297241709705972</v>
      </c>
      <c r="T45" s="7">
        <v>31.55316793776441</v>
      </c>
      <c r="U45" s="7">
        <v>62.86585272631222</v>
      </c>
      <c r="V45" s="7">
        <v>39.102074599528251</v>
      </c>
      <c r="W45" s="7">
        <v>65.001139682553031</v>
      </c>
      <c r="X45" s="7">
        <v>33.755807140590782</v>
      </c>
      <c r="Y45" s="7">
        <v>54.143527547796253</v>
      </c>
      <c r="Z45" s="7">
        <v>76.693668041833433</v>
      </c>
      <c r="AA45" s="7">
        <v>52.383292475471571</v>
      </c>
      <c r="AB45" s="7">
        <v>72.378903498347043</v>
      </c>
      <c r="AC45" s="7">
        <v>73.185603524398019</v>
      </c>
      <c r="AD45" s="7">
        <v>41.140749213311047</v>
      </c>
      <c r="AE45" s="7">
        <v>65.715208328654654</v>
      </c>
      <c r="AF45" s="7">
        <v>26.48048596349097</v>
      </c>
      <c r="AG45" s="7">
        <v>57.692763974283537</v>
      </c>
      <c r="AH45" s="7">
        <v>86.052038779117225</v>
      </c>
      <c r="AI45" s="7">
        <v>45.384937932388773</v>
      </c>
      <c r="AJ45" s="7">
        <v>65.57440627903533</v>
      </c>
      <c r="AK45" s="7">
        <v>63.356988036002491</v>
      </c>
      <c r="AL45" s="7">
        <v>48.380043457830467</v>
      </c>
      <c r="AM45" s="7">
        <v>66.987467951391693</v>
      </c>
      <c r="AN45" s="7">
        <v>46.264498426170398</v>
      </c>
      <c r="AO45" s="7">
        <v>50.261307073921678</v>
      </c>
      <c r="AP45" s="7">
        <v>63.744310286581943</v>
      </c>
      <c r="AQ45" s="7">
        <v>48.946030400584419</v>
      </c>
      <c r="AR45" s="7">
        <v>59.550148995868689</v>
      </c>
      <c r="AS45" s="10" t="s">
        <v>148</v>
      </c>
    </row>
    <row r="46" spans="1:45" x14ac:dyDescent="0.35">
      <c r="A46" s="8" t="s">
        <v>74</v>
      </c>
      <c r="B46" s="6">
        <v>53.891839633620627</v>
      </c>
      <c r="C46" s="6">
        <v>35.411402519278887</v>
      </c>
      <c r="D46" s="6">
        <v>49.969394586820222</v>
      </c>
      <c r="E46" s="6">
        <v>67.153326672287136</v>
      </c>
      <c r="F46" s="6">
        <v>51.07867032230547</v>
      </c>
      <c r="G46" s="7">
        <v>40.788619406962738</v>
      </c>
      <c r="H46" s="7">
        <v>43.992019993563773</v>
      </c>
      <c r="I46" s="7">
        <v>35.776305153134018</v>
      </c>
      <c r="J46" s="7">
        <v>33.304927880783431</v>
      </c>
      <c r="K46" s="7">
        <v>54.06120425672983</v>
      </c>
      <c r="L46" s="7">
        <v>42.303930125376461</v>
      </c>
      <c r="M46" s="7">
        <v>50.216472306168349</v>
      </c>
      <c r="N46" s="7">
        <v>49.481742612292081</v>
      </c>
      <c r="O46" s="7">
        <v>42.653411466572479</v>
      </c>
      <c r="P46" s="7">
        <v>32.668959428562196</v>
      </c>
      <c r="Q46" s="7">
        <v>33.029616604335743</v>
      </c>
      <c r="R46" s="7">
        <v>50.551520332380328</v>
      </c>
      <c r="S46" s="7">
        <v>68.96338178984071</v>
      </c>
      <c r="T46" s="7">
        <v>40.753871669295087</v>
      </c>
      <c r="U46" s="7">
        <v>37.5933764306277</v>
      </c>
      <c r="V46" s="7">
        <v>64.204146959600664</v>
      </c>
      <c r="W46" s="7">
        <v>61.85975443854516</v>
      </c>
      <c r="X46" s="7">
        <v>33.703874303434347</v>
      </c>
      <c r="Y46" s="7">
        <v>66.196452930877399</v>
      </c>
      <c r="Z46" s="7">
        <v>58.532870872088118</v>
      </c>
      <c r="AA46" s="7">
        <v>41.220333016181449</v>
      </c>
      <c r="AB46" s="7">
        <v>65.85171374503031</v>
      </c>
      <c r="AC46" s="7">
        <v>41.64459521335943</v>
      </c>
      <c r="AD46" s="7">
        <v>47.496160587306399</v>
      </c>
      <c r="AE46" s="7">
        <v>45.5194006772807</v>
      </c>
      <c r="AF46" s="7">
        <v>41.127614118781338</v>
      </c>
      <c r="AG46" s="7">
        <v>60.585732950174268</v>
      </c>
      <c r="AH46" s="7">
        <v>37.881626948763319</v>
      </c>
      <c r="AI46" s="7">
        <v>58.167393260233133</v>
      </c>
      <c r="AJ46" s="7">
        <v>53.320144067505183</v>
      </c>
      <c r="AK46" s="7">
        <v>54.701742056409003</v>
      </c>
      <c r="AL46" s="7">
        <v>29.379108701354859</v>
      </c>
      <c r="AM46" s="7">
        <v>81.819358068876369</v>
      </c>
      <c r="AN46" s="7">
        <v>44.699922090527068</v>
      </c>
      <c r="AO46" s="7">
        <v>57.815717370037923</v>
      </c>
      <c r="AP46" s="7">
        <v>84.88204313140389</v>
      </c>
      <c r="AQ46" s="7">
        <v>55.603309148603877</v>
      </c>
      <c r="AR46" s="7">
        <v>43.306413874199777</v>
      </c>
      <c r="AS46" s="10" t="s">
        <v>148</v>
      </c>
    </row>
    <row r="47" spans="1:45" x14ac:dyDescent="0.35">
      <c r="A47" s="8" t="s">
        <v>75</v>
      </c>
      <c r="B47" s="6">
        <v>42.397699653765123</v>
      </c>
      <c r="C47" s="6">
        <v>63.340575709307593</v>
      </c>
      <c r="D47" s="6">
        <v>57.771063366298293</v>
      </c>
      <c r="E47" s="6">
        <v>58.523344792210537</v>
      </c>
      <c r="F47" s="6">
        <v>78.73812450895079</v>
      </c>
      <c r="G47" s="7">
        <v>53.213352622602031</v>
      </c>
      <c r="H47" s="7">
        <v>94.660978647254424</v>
      </c>
      <c r="I47" s="7">
        <v>56.516831939987703</v>
      </c>
      <c r="J47" s="7">
        <v>63.508082131996687</v>
      </c>
      <c r="K47" s="7">
        <v>74.031841271860458</v>
      </c>
      <c r="L47" s="7">
        <v>55.884628972481003</v>
      </c>
      <c r="M47" s="7">
        <v>68.66319769370844</v>
      </c>
      <c r="N47" s="7">
        <v>68.260444607810655</v>
      </c>
      <c r="O47" s="7">
        <v>49.138459456238422</v>
      </c>
      <c r="P47" s="7">
        <v>46.393055982304048</v>
      </c>
      <c r="Q47" s="7">
        <v>42.89309200192713</v>
      </c>
      <c r="R47" s="7">
        <v>65.624982609267747</v>
      </c>
      <c r="S47" s="7">
        <v>52.92647318666306</v>
      </c>
      <c r="T47" s="7">
        <v>59.988026137894728</v>
      </c>
      <c r="U47" s="7">
        <v>35.224299502987932</v>
      </c>
      <c r="V47" s="7">
        <v>62.034483985003646</v>
      </c>
      <c r="W47" s="7">
        <v>53.246189894581782</v>
      </c>
      <c r="X47" s="7">
        <v>41.144642290220972</v>
      </c>
      <c r="Y47" s="7">
        <v>62.45825747088967</v>
      </c>
      <c r="Z47" s="7">
        <v>59.519523155274143</v>
      </c>
      <c r="AA47" s="7">
        <v>62.690342561312193</v>
      </c>
      <c r="AB47" s="7">
        <v>69.55787855658285</v>
      </c>
      <c r="AC47" s="7">
        <v>48.736525718219617</v>
      </c>
      <c r="AD47" s="7">
        <v>65.850721876615069</v>
      </c>
      <c r="AE47" s="7">
        <v>59.891850220487868</v>
      </c>
      <c r="AF47" s="7">
        <v>57.211095674122731</v>
      </c>
      <c r="AG47" s="7">
        <v>47.797635472457053</v>
      </c>
      <c r="AH47" s="7">
        <v>52.393586913741437</v>
      </c>
      <c r="AI47" s="7">
        <v>49.780037848224858</v>
      </c>
      <c r="AJ47" s="7">
        <v>67.024986550371707</v>
      </c>
      <c r="AK47" s="7">
        <v>41.724552101153932</v>
      </c>
      <c r="AL47" s="7">
        <v>56.325934940852953</v>
      </c>
      <c r="AM47" s="7">
        <v>58.813078791058189</v>
      </c>
      <c r="AN47" s="7">
        <v>100.4274198270134</v>
      </c>
      <c r="AO47" s="7">
        <v>69.95012467360533</v>
      </c>
      <c r="AP47" s="7">
        <v>48.378108880816228</v>
      </c>
      <c r="AQ47" s="7">
        <v>34.433189525263757</v>
      </c>
      <c r="AR47" s="7">
        <v>59.332142282584201</v>
      </c>
      <c r="AS47" s="10" t="s">
        <v>148</v>
      </c>
    </row>
    <row r="48" spans="1:45" x14ac:dyDescent="0.35">
      <c r="A48" s="8" t="s">
        <v>64</v>
      </c>
      <c r="B48" s="6">
        <v>41.154272340095737</v>
      </c>
      <c r="C48" s="6">
        <v>49.011602081149199</v>
      </c>
      <c r="D48" s="6">
        <v>76.08619098304618</v>
      </c>
      <c r="E48" s="6">
        <v>25.570205420158761</v>
      </c>
      <c r="F48" s="6">
        <v>58.467093309125161</v>
      </c>
      <c r="G48" s="7">
        <v>66.375276178146279</v>
      </c>
      <c r="H48" s="7">
        <v>48.023605017614472</v>
      </c>
      <c r="I48" s="7">
        <v>88.853651852243388</v>
      </c>
      <c r="J48" s="7">
        <v>35.858555368726968</v>
      </c>
      <c r="K48" s="7">
        <v>53.800322057038883</v>
      </c>
      <c r="L48" s="7">
        <v>58.727096296859052</v>
      </c>
      <c r="M48" s="7">
        <v>61.031764965276139</v>
      </c>
      <c r="N48" s="7">
        <v>65.905951852472512</v>
      </c>
      <c r="O48" s="7">
        <v>50.802614062081609</v>
      </c>
      <c r="P48" s="7">
        <v>52.899495234591591</v>
      </c>
      <c r="Q48" s="7">
        <v>41.690957368377219</v>
      </c>
      <c r="R48" s="7">
        <v>54.693724866437897</v>
      </c>
      <c r="S48" s="7">
        <v>55.727127311326051</v>
      </c>
      <c r="T48" s="7">
        <v>69.038932942320145</v>
      </c>
      <c r="U48" s="7">
        <v>42.034901202908969</v>
      </c>
      <c r="V48" s="7">
        <v>42.960958963420097</v>
      </c>
      <c r="W48" s="7">
        <v>37.434580811355467</v>
      </c>
      <c r="X48" s="7">
        <v>51.195853741667122</v>
      </c>
      <c r="Y48" s="7">
        <v>51.022482988787146</v>
      </c>
      <c r="Z48" s="7">
        <v>61.376559775759873</v>
      </c>
      <c r="AA48" s="7">
        <v>55.670367653082337</v>
      </c>
      <c r="AB48" s="7">
        <v>58.061357682235787</v>
      </c>
      <c r="AC48" s="7">
        <v>87.977456087349253</v>
      </c>
      <c r="AD48" s="7">
        <v>35.261786328181877</v>
      </c>
      <c r="AE48" s="7">
        <v>46.235076877592398</v>
      </c>
      <c r="AF48" s="7">
        <v>33.583784946432722</v>
      </c>
      <c r="AG48" s="7">
        <v>40.25015121577615</v>
      </c>
      <c r="AH48" s="7">
        <v>49.869865440689551</v>
      </c>
      <c r="AI48" s="7">
        <v>61.616579840166153</v>
      </c>
      <c r="AJ48" s="7">
        <v>50.800313753165682</v>
      </c>
      <c r="AK48" s="7">
        <v>38.684007372404793</v>
      </c>
      <c r="AL48" s="7">
        <v>30.088529721706809</v>
      </c>
      <c r="AM48" s="7">
        <v>45.936664577422142</v>
      </c>
      <c r="AN48" s="7">
        <v>57.453256293737859</v>
      </c>
      <c r="AO48" s="7">
        <v>52.071970092028778</v>
      </c>
      <c r="AP48" s="7">
        <v>37.354500553036203</v>
      </c>
      <c r="AQ48" s="7">
        <v>44.238988778731432</v>
      </c>
      <c r="AR48" s="7">
        <v>60.580746018639097</v>
      </c>
      <c r="AS48" s="10" t="s">
        <v>148</v>
      </c>
    </row>
    <row r="49" spans="1:45" x14ac:dyDescent="0.35">
      <c r="A49" s="8" t="s">
        <v>65</v>
      </c>
      <c r="B49" s="6">
        <v>27.531650490883312</v>
      </c>
      <c r="C49" s="6">
        <v>56.797687802549397</v>
      </c>
      <c r="D49" s="6">
        <v>43.230070712560689</v>
      </c>
      <c r="E49" s="6">
        <v>40.908471240468131</v>
      </c>
      <c r="F49" s="6">
        <v>40.497198583192649</v>
      </c>
      <c r="G49" s="7">
        <v>69.772734274369</v>
      </c>
      <c r="H49" s="7">
        <v>39.992208872651638</v>
      </c>
      <c r="I49" s="7">
        <v>52.679861916702137</v>
      </c>
      <c r="J49" s="7">
        <v>44.823414680493769</v>
      </c>
      <c r="K49" s="7">
        <v>49.233924354289137</v>
      </c>
      <c r="L49" s="7">
        <v>34.564349136103779</v>
      </c>
      <c r="M49" s="7">
        <v>41.864810867943277</v>
      </c>
      <c r="N49" s="7">
        <v>51.243277223472766</v>
      </c>
      <c r="O49" s="7">
        <v>39.609851336249648</v>
      </c>
      <c r="P49" s="7">
        <v>37.608685164616688</v>
      </c>
      <c r="Q49" s="7">
        <v>41.658522201641468</v>
      </c>
      <c r="R49" s="7">
        <v>38.314159424055191</v>
      </c>
      <c r="S49" s="7">
        <v>33.922334382061003</v>
      </c>
      <c r="T49" s="7">
        <v>40.702137042386667</v>
      </c>
      <c r="U49" s="7">
        <v>36.751622852267943</v>
      </c>
      <c r="V49" s="7">
        <v>58.439767102889867</v>
      </c>
      <c r="W49" s="7">
        <v>41.175844839180868</v>
      </c>
      <c r="X49" s="7">
        <v>38.092778604696193</v>
      </c>
      <c r="Y49" s="7">
        <v>56.123403291925122</v>
      </c>
      <c r="Z49" s="7">
        <v>43.190492086057212</v>
      </c>
      <c r="AA49" s="7">
        <v>44.258177144862827</v>
      </c>
      <c r="AB49" s="7">
        <v>55.426720114262167</v>
      </c>
      <c r="AC49" s="7">
        <v>22.69179438813881</v>
      </c>
      <c r="AD49" s="7">
        <v>59.512512651348658</v>
      </c>
      <c r="AE49" s="7">
        <v>33.446274268665391</v>
      </c>
      <c r="AF49" s="7">
        <v>56.950269049825494</v>
      </c>
      <c r="AG49" s="7">
        <v>41.550585484529577</v>
      </c>
      <c r="AH49" s="7">
        <v>43.472104171583602</v>
      </c>
      <c r="AI49" s="7">
        <v>40.763261528845348</v>
      </c>
      <c r="AJ49" s="7">
        <v>35.764573578481773</v>
      </c>
      <c r="AK49" s="7">
        <v>28.827368847889531</v>
      </c>
      <c r="AL49" s="7">
        <v>48.125326496217141</v>
      </c>
      <c r="AM49" s="7">
        <v>30.631515789954062</v>
      </c>
      <c r="AN49" s="7">
        <v>52.695622640469161</v>
      </c>
      <c r="AO49" s="7">
        <v>36.908359696448152</v>
      </c>
      <c r="AP49" s="7">
        <v>36.63914608701181</v>
      </c>
      <c r="AQ49" s="7">
        <v>34.521291620929183</v>
      </c>
      <c r="AR49" s="7">
        <v>46.119285117669577</v>
      </c>
      <c r="AS49" s="10" t="s">
        <v>148</v>
      </c>
    </row>
    <row r="50" spans="1:45" x14ac:dyDescent="0.35">
      <c r="A50" s="8" t="s">
        <v>66</v>
      </c>
      <c r="B50" s="6">
        <v>60.524483927231209</v>
      </c>
      <c r="C50" s="6">
        <v>38.722904424115747</v>
      </c>
      <c r="D50" s="6">
        <v>56.213023201974849</v>
      </c>
      <c r="E50" s="6">
        <v>79.991975031656352</v>
      </c>
      <c r="F50" s="6">
        <v>66.158363385846769</v>
      </c>
      <c r="G50" s="7">
        <v>56.511414581914053</v>
      </c>
      <c r="H50" s="7">
        <v>49.77797363981378</v>
      </c>
      <c r="I50" s="7">
        <v>37.301897409996592</v>
      </c>
      <c r="J50" s="7">
        <v>34.767656482825558</v>
      </c>
      <c r="K50" s="7">
        <v>55.499608796366473</v>
      </c>
      <c r="L50" s="7">
        <v>34.683213345241583</v>
      </c>
      <c r="M50" s="7">
        <v>55.604326944126321</v>
      </c>
      <c r="N50" s="7">
        <v>53.56005786042725</v>
      </c>
      <c r="O50" s="7">
        <v>59.277863503841637</v>
      </c>
      <c r="P50" s="7">
        <v>61.273848540644501</v>
      </c>
      <c r="Q50" s="7">
        <v>38.326875313903052</v>
      </c>
      <c r="R50" s="7">
        <v>42.020573983531172</v>
      </c>
      <c r="S50" s="7">
        <v>52.2544030606809</v>
      </c>
      <c r="T50" s="7">
        <v>70.565978537076305</v>
      </c>
      <c r="U50" s="7">
        <v>60.249708378033702</v>
      </c>
      <c r="V50" s="7">
        <v>37.681764242053212</v>
      </c>
      <c r="W50" s="7">
        <v>52.395867444953979</v>
      </c>
      <c r="X50" s="7">
        <v>52.180518013798178</v>
      </c>
      <c r="Y50" s="7">
        <v>42.83542132016823</v>
      </c>
      <c r="Z50" s="7">
        <v>61.015422183839483</v>
      </c>
      <c r="AA50" s="7">
        <v>40.893780549129467</v>
      </c>
      <c r="AB50" s="7">
        <v>59.66599358425082</v>
      </c>
      <c r="AC50" s="7">
        <v>58.171565087773153</v>
      </c>
      <c r="AD50" s="7">
        <v>70.817635051634909</v>
      </c>
      <c r="AE50" s="7">
        <v>53.911228396449353</v>
      </c>
      <c r="AF50" s="7">
        <v>40.804186169065048</v>
      </c>
      <c r="AG50" s="7">
        <v>56.494579037829709</v>
      </c>
      <c r="AH50" s="7">
        <v>31.449718518374009</v>
      </c>
      <c r="AI50" s="7">
        <v>48.849239444523697</v>
      </c>
      <c r="AJ50" s="7">
        <v>51.704408099650358</v>
      </c>
      <c r="AK50" s="7">
        <v>59.293064404293943</v>
      </c>
      <c r="AL50" s="7">
        <v>44.122549961720551</v>
      </c>
      <c r="AM50" s="7">
        <v>40.199695288927217</v>
      </c>
      <c r="AN50" s="7">
        <v>56.963805632155967</v>
      </c>
      <c r="AO50" s="7">
        <v>55.233449028724358</v>
      </c>
      <c r="AP50" s="7">
        <v>52.697718976552181</v>
      </c>
      <c r="AQ50" s="7">
        <v>51.483128612899989</v>
      </c>
      <c r="AR50" s="7">
        <v>47.906907735894968</v>
      </c>
      <c r="AS50" s="10" t="s">
        <v>148</v>
      </c>
    </row>
    <row r="51" spans="1:45" x14ac:dyDescent="0.35">
      <c r="A51" s="8" t="s">
        <v>67</v>
      </c>
      <c r="B51" s="6">
        <v>41.272422888768943</v>
      </c>
      <c r="C51" s="6">
        <v>41.074947072214897</v>
      </c>
      <c r="D51" s="6">
        <v>59.080705545583029</v>
      </c>
      <c r="E51" s="6">
        <v>39.590019289368108</v>
      </c>
      <c r="F51" s="6">
        <v>44.027125979279099</v>
      </c>
      <c r="G51" s="7">
        <v>40.060697830923047</v>
      </c>
      <c r="H51" s="7">
        <v>40.13086663571039</v>
      </c>
      <c r="I51" s="7">
        <v>48.050331523933281</v>
      </c>
      <c r="J51" s="7">
        <v>51.948403873073751</v>
      </c>
      <c r="K51" s="7">
        <v>46.933370102492638</v>
      </c>
      <c r="L51" s="7">
        <v>42.665632007633477</v>
      </c>
      <c r="M51" s="7">
        <v>57.27769230739851</v>
      </c>
      <c r="N51" s="7">
        <v>32.918927559108447</v>
      </c>
      <c r="O51" s="7">
        <v>48.423223607218823</v>
      </c>
      <c r="P51" s="7">
        <v>35.54247812751683</v>
      </c>
      <c r="Q51" s="7">
        <v>45.215655267609108</v>
      </c>
      <c r="R51" s="7">
        <v>51.203039830025503</v>
      </c>
      <c r="S51" s="7">
        <v>37.766554398415657</v>
      </c>
      <c r="T51" s="7">
        <v>45.871791392809463</v>
      </c>
      <c r="U51" s="7">
        <v>45.759212986053747</v>
      </c>
      <c r="V51" s="7">
        <v>44.705460823333311</v>
      </c>
      <c r="W51" s="7">
        <v>27.42367436059126</v>
      </c>
      <c r="X51" s="7">
        <v>51.595410784210159</v>
      </c>
      <c r="Y51" s="7">
        <v>42.133550001741838</v>
      </c>
      <c r="Z51" s="7">
        <v>37.962554769576712</v>
      </c>
      <c r="AA51" s="7">
        <v>39.374682938116628</v>
      </c>
      <c r="AB51" s="7">
        <v>56.137953899638923</v>
      </c>
      <c r="AC51" s="7">
        <v>45.109909938552121</v>
      </c>
      <c r="AD51" s="7">
        <v>50.083916948071632</v>
      </c>
      <c r="AE51" s="7">
        <v>44.188703689576933</v>
      </c>
      <c r="AF51" s="7">
        <v>64.961440487626149</v>
      </c>
      <c r="AG51" s="7">
        <v>56.196910433856651</v>
      </c>
      <c r="AH51" s="7">
        <v>47.547673601166842</v>
      </c>
      <c r="AI51" s="7">
        <v>59.072643853258938</v>
      </c>
      <c r="AJ51" s="7">
        <v>41.771177834945348</v>
      </c>
      <c r="AK51" s="7">
        <v>44.338056416173629</v>
      </c>
      <c r="AL51" s="7">
        <v>41.550260236857604</v>
      </c>
      <c r="AM51" s="7">
        <v>60.616156676655578</v>
      </c>
      <c r="AN51" s="7">
        <v>43.217470276100542</v>
      </c>
      <c r="AO51" s="7">
        <v>41.602684826447273</v>
      </c>
      <c r="AP51" s="7">
        <v>33.390805943691468</v>
      </c>
      <c r="AQ51" s="7">
        <v>49.767158445558543</v>
      </c>
      <c r="AR51" s="7">
        <v>63.018320624511787</v>
      </c>
      <c r="AS51" s="10" t="s">
        <v>148</v>
      </c>
    </row>
    <row r="52" spans="1:45" x14ac:dyDescent="0.35">
      <c r="A52" s="8" t="s">
        <v>68</v>
      </c>
      <c r="B52" s="6">
        <v>70.389357963893602</v>
      </c>
      <c r="C52" s="6">
        <v>60.221469892811932</v>
      </c>
      <c r="D52" s="6">
        <v>66.978608209983491</v>
      </c>
      <c r="E52" s="6">
        <v>64.962207099708735</v>
      </c>
      <c r="F52" s="6">
        <v>46.651879264897602</v>
      </c>
      <c r="G52" s="7">
        <v>65.38569666420149</v>
      </c>
      <c r="H52" s="7">
        <v>53.125848964477854</v>
      </c>
      <c r="I52" s="7">
        <v>47.562676050306031</v>
      </c>
      <c r="J52" s="7">
        <v>52.712496122365152</v>
      </c>
      <c r="K52" s="7">
        <v>67.859488364140944</v>
      </c>
      <c r="L52" s="7">
        <v>46.88412941299346</v>
      </c>
      <c r="M52" s="7">
        <v>61.848418215788918</v>
      </c>
      <c r="N52" s="7">
        <v>55.431873152605682</v>
      </c>
      <c r="O52" s="7">
        <v>72.52976695284589</v>
      </c>
      <c r="P52" s="7">
        <v>55.575415498861133</v>
      </c>
      <c r="Q52" s="7">
        <v>69.448598620222285</v>
      </c>
      <c r="R52" s="7">
        <v>41.692500705606037</v>
      </c>
      <c r="S52" s="7">
        <v>75.409197168841956</v>
      </c>
      <c r="T52" s="7">
        <v>77.144185481509865</v>
      </c>
      <c r="U52" s="7">
        <v>65.186464130047398</v>
      </c>
      <c r="V52" s="7">
        <v>60.383178058996187</v>
      </c>
      <c r="W52" s="7">
        <v>50.451269337674667</v>
      </c>
      <c r="X52" s="7">
        <v>67.833019025653286</v>
      </c>
      <c r="Y52" s="7">
        <v>46.755703150247548</v>
      </c>
      <c r="Z52" s="7">
        <v>81.54370635686729</v>
      </c>
      <c r="AA52" s="7">
        <v>62.889830952514608</v>
      </c>
      <c r="AB52" s="7">
        <v>62.500109159557418</v>
      </c>
      <c r="AC52" s="7">
        <v>69.726651502717118</v>
      </c>
      <c r="AD52" s="7">
        <v>48.825530908748092</v>
      </c>
      <c r="AE52" s="7">
        <v>51.116454667330423</v>
      </c>
      <c r="AF52" s="7">
        <v>46.660065205133712</v>
      </c>
      <c r="AG52" s="7">
        <v>42.412664357959763</v>
      </c>
      <c r="AH52" s="7">
        <v>75.622089439192877</v>
      </c>
      <c r="AI52" s="7">
        <v>68.496339470568955</v>
      </c>
      <c r="AJ52" s="7">
        <v>50.865544257304201</v>
      </c>
      <c r="AK52" s="7">
        <v>53.761619356290247</v>
      </c>
      <c r="AL52" s="7">
        <v>47.778484789529386</v>
      </c>
      <c r="AM52" s="7">
        <v>85.331622191962367</v>
      </c>
      <c r="AN52" s="7">
        <v>61.39681280620249</v>
      </c>
      <c r="AO52" s="7">
        <v>57.24400391065528</v>
      </c>
      <c r="AP52" s="7">
        <v>53.659451878848699</v>
      </c>
      <c r="AQ52" s="7">
        <v>60.688754749721227</v>
      </c>
      <c r="AR52" s="7">
        <v>48.220626430945373</v>
      </c>
      <c r="AS52" s="10" t="s">
        <v>148</v>
      </c>
    </row>
    <row r="53" spans="1:45" x14ac:dyDescent="0.35">
      <c r="A53" s="8" t="s">
        <v>69</v>
      </c>
      <c r="B53" s="6">
        <v>83.374055879141423</v>
      </c>
      <c r="C53" s="6">
        <v>70.019073620057753</v>
      </c>
      <c r="D53" s="6">
        <v>66.174302591631417</v>
      </c>
      <c r="E53" s="6">
        <v>49.914803926024142</v>
      </c>
      <c r="F53" s="6">
        <v>85.628686631583761</v>
      </c>
      <c r="G53" s="7">
        <v>45.433835082138337</v>
      </c>
      <c r="H53" s="7">
        <v>74.545325032172613</v>
      </c>
      <c r="I53" s="7">
        <v>65.179444429362604</v>
      </c>
      <c r="J53" s="7">
        <v>63.969347385783209</v>
      </c>
      <c r="K53" s="7">
        <v>64.889542752740383</v>
      </c>
      <c r="L53" s="7">
        <v>70.365538630489766</v>
      </c>
      <c r="M53" s="7">
        <v>46.792200418402473</v>
      </c>
      <c r="N53" s="7">
        <v>74.670062785816086</v>
      </c>
      <c r="O53" s="7">
        <v>91.090153363976881</v>
      </c>
      <c r="P53" s="7">
        <v>66.425932691634927</v>
      </c>
      <c r="Q53" s="7">
        <v>62.56839713671765</v>
      </c>
      <c r="R53" s="7">
        <v>54.81425200414175</v>
      </c>
      <c r="S53" s="7">
        <v>51.672139917293819</v>
      </c>
      <c r="T53" s="7">
        <v>74.836081780402438</v>
      </c>
      <c r="U53" s="7">
        <v>39.399169004238011</v>
      </c>
      <c r="V53" s="7">
        <v>78.576017239346726</v>
      </c>
      <c r="W53" s="7">
        <v>75.71093553411697</v>
      </c>
      <c r="X53" s="7">
        <v>65.398746323053317</v>
      </c>
      <c r="Y53" s="7">
        <v>52.195303699201787</v>
      </c>
      <c r="Z53" s="7">
        <v>84.237849134189887</v>
      </c>
      <c r="AA53" s="7">
        <v>73.598094183976045</v>
      </c>
      <c r="AB53" s="7">
        <v>58.430090136905058</v>
      </c>
      <c r="AC53" s="7">
        <v>83.124368413471672</v>
      </c>
      <c r="AD53" s="7">
        <v>83.86814844054625</v>
      </c>
      <c r="AE53" s="7">
        <v>66.260835073165708</v>
      </c>
      <c r="AF53" s="7">
        <v>59.913636170277329</v>
      </c>
      <c r="AG53" s="7">
        <v>87.677986097330759</v>
      </c>
      <c r="AH53" s="7">
        <v>52.725826240203567</v>
      </c>
      <c r="AI53" s="7">
        <v>50.277862058758572</v>
      </c>
      <c r="AJ53" s="7">
        <v>83.098505388287123</v>
      </c>
      <c r="AK53" s="7">
        <v>57.399759028673273</v>
      </c>
      <c r="AL53" s="7">
        <v>49.099139880835111</v>
      </c>
      <c r="AM53" s="7">
        <v>66.077605473188854</v>
      </c>
      <c r="AN53" s="7">
        <v>70.578797634410734</v>
      </c>
      <c r="AO53" s="7">
        <v>75.326378277029207</v>
      </c>
      <c r="AP53" s="7">
        <v>86.317603567464516</v>
      </c>
      <c r="AQ53" s="7">
        <v>70.07501553411501</v>
      </c>
      <c r="AR53" s="7">
        <v>61.466456340184948</v>
      </c>
      <c r="AS53" s="10" t="s">
        <v>148</v>
      </c>
    </row>
    <row r="54" spans="1:45" x14ac:dyDescent="0.35">
      <c r="A54" s="8" t="s">
        <v>70</v>
      </c>
      <c r="B54" s="6">
        <v>67.664813675473411</v>
      </c>
      <c r="C54" s="6">
        <v>38.27535960695441</v>
      </c>
      <c r="D54" s="6">
        <v>45.827432205435827</v>
      </c>
      <c r="E54" s="6">
        <v>48.267677929909929</v>
      </c>
      <c r="F54" s="6">
        <v>65.313301800846233</v>
      </c>
      <c r="G54" s="7">
        <v>58.746840831624532</v>
      </c>
      <c r="H54" s="7">
        <v>59.092546072929707</v>
      </c>
      <c r="I54" s="7">
        <v>46.151444145615322</v>
      </c>
      <c r="J54" s="7">
        <v>41.269375532282623</v>
      </c>
      <c r="K54" s="7">
        <v>65.657935054081605</v>
      </c>
      <c r="L54" s="7">
        <v>60.89292783094109</v>
      </c>
      <c r="M54" s="7">
        <v>55.109493975200976</v>
      </c>
      <c r="N54" s="7">
        <v>78.568642872957</v>
      </c>
      <c r="O54" s="7">
        <v>62.81544325923003</v>
      </c>
      <c r="P54" s="7">
        <v>38.386765714966039</v>
      </c>
      <c r="Q54" s="7">
        <v>48.335011458378453</v>
      </c>
      <c r="R54" s="7">
        <v>37.194835051708253</v>
      </c>
      <c r="S54" s="7">
        <v>63.077618424132972</v>
      </c>
      <c r="T54" s="7">
        <v>52.317643518446197</v>
      </c>
      <c r="U54" s="7">
        <v>35.644918647704188</v>
      </c>
      <c r="V54" s="7">
        <v>37.757047296093127</v>
      </c>
      <c r="W54" s="7">
        <v>35.125324658244367</v>
      </c>
      <c r="X54" s="7">
        <v>58.078870253630598</v>
      </c>
      <c r="Y54" s="7">
        <v>43.675989038349122</v>
      </c>
      <c r="Z54" s="7">
        <v>48.276016018339568</v>
      </c>
      <c r="AA54" s="7">
        <v>67.508867495470568</v>
      </c>
      <c r="AB54" s="7">
        <v>54.979798646112833</v>
      </c>
      <c r="AC54" s="7">
        <v>73.437095045745409</v>
      </c>
      <c r="AD54" s="7">
        <v>48.98047786027999</v>
      </c>
      <c r="AE54" s="7">
        <v>51.815153294241277</v>
      </c>
      <c r="AF54" s="7">
        <v>56.408865755217647</v>
      </c>
      <c r="AG54" s="7">
        <v>43.599818978492728</v>
      </c>
      <c r="AH54" s="7">
        <v>38.100075848365456</v>
      </c>
      <c r="AI54" s="7">
        <v>42.984643449291482</v>
      </c>
      <c r="AJ54" s="7">
        <v>40.106366802475613</v>
      </c>
      <c r="AK54" s="7">
        <v>50.614689328293792</v>
      </c>
      <c r="AL54" s="7">
        <v>47.90288429767724</v>
      </c>
      <c r="AM54" s="7">
        <v>42.041518380354169</v>
      </c>
      <c r="AN54" s="7">
        <v>47.713410902837559</v>
      </c>
      <c r="AO54" s="7">
        <v>47.400962375929801</v>
      </c>
      <c r="AP54" s="7">
        <v>46.68372785720603</v>
      </c>
      <c r="AQ54" s="7">
        <v>50.025524233971453</v>
      </c>
      <c r="AR54" s="7">
        <v>30.956219761159439</v>
      </c>
      <c r="AS54" s="10" t="s">
        <v>148</v>
      </c>
    </row>
    <row r="55" spans="1:45" x14ac:dyDescent="0.35">
      <c r="A55" s="8" t="s">
        <v>71</v>
      </c>
      <c r="B55" s="6">
        <v>24.306727029176049</v>
      </c>
      <c r="C55" s="6">
        <v>47.737189790942011</v>
      </c>
      <c r="D55" s="6">
        <v>54.62209786201452</v>
      </c>
      <c r="E55" s="6">
        <v>59.76207078362313</v>
      </c>
      <c r="F55" s="6">
        <v>28.838648593613801</v>
      </c>
      <c r="G55" s="7">
        <v>53.332647701886437</v>
      </c>
      <c r="H55" s="7">
        <v>46.454781240040788</v>
      </c>
      <c r="I55" s="7">
        <v>42.079994275286161</v>
      </c>
      <c r="J55" s="7">
        <v>51.853606089275438</v>
      </c>
      <c r="K55" s="7">
        <v>31.292276998877281</v>
      </c>
      <c r="L55" s="7">
        <v>41.123519575560891</v>
      </c>
      <c r="M55" s="7">
        <v>30.22915848329286</v>
      </c>
      <c r="N55" s="7">
        <v>53.772458394184198</v>
      </c>
      <c r="O55" s="7">
        <v>63.247449331495567</v>
      </c>
      <c r="P55" s="7">
        <v>30.887386530772709</v>
      </c>
      <c r="Q55" s="7">
        <v>51.238694287807213</v>
      </c>
      <c r="R55" s="7">
        <v>19.92568828653339</v>
      </c>
      <c r="S55" s="7">
        <v>32.843236287493582</v>
      </c>
      <c r="T55" s="7">
        <v>28.73783701391984</v>
      </c>
      <c r="U55" s="7">
        <v>45.064525089452097</v>
      </c>
      <c r="V55" s="7">
        <v>37.261020712081063</v>
      </c>
      <c r="W55" s="7">
        <v>25.214537245091879</v>
      </c>
      <c r="X55" s="7">
        <v>56.104601399047787</v>
      </c>
      <c r="Y55" s="7">
        <v>40.785316626744063</v>
      </c>
      <c r="Z55" s="7">
        <v>17.36002395785086</v>
      </c>
      <c r="AA55" s="7">
        <v>36.853233693085357</v>
      </c>
      <c r="AB55" s="7">
        <v>28.649462322711361</v>
      </c>
      <c r="AC55" s="7">
        <v>33.841239152049347</v>
      </c>
      <c r="AD55" s="7">
        <v>23.898345324221211</v>
      </c>
      <c r="AE55" s="7">
        <v>31.627484606953789</v>
      </c>
      <c r="AF55" s="7">
        <v>33.380842410964227</v>
      </c>
      <c r="AG55" s="7">
        <v>29.119405232831639</v>
      </c>
      <c r="AH55" s="7">
        <v>21.32167824374794</v>
      </c>
      <c r="AI55" s="7">
        <v>29.062755084695421</v>
      </c>
      <c r="AJ55" s="7">
        <v>34.341972557841757</v>
      </c>
      <c r="AK55" s="7">
        <v>22.603486872590931</v>
      </c>
      <c r="AL55" s="7">
        <v>29.053202661386639</v>
      </c>
      <c r="AM55" s="7">
        <v>24.884889205752781</v>
      </c>
      <c r="AN55" s="7">
        <v>40.154666514674673</v>
      </c>
      <c r="AO55" s="7">
        <v>30.357248328920409</v>
      </c>
      <c r="AP55" s="7">
        <v>38.89898778992292</v>
      </c>
      <c r="AQ55" s="7">
        <v>60.412338194458357</v>
      </c>
      <c r="AR55" s="7">
        <v>22.490195289084589</v>
      </c>
      <c r="AS55" s="10" t="s">
        <v>148</v>
      </c>
    </row>
    <row r="56" spans="1:45" x14ac:dyDescent="0.35">
      <c r="A56" s="8" t="s">
        <v>72</v>
      </c>
      <c r="B56" s="6">
        <v>62.382857023992301</v>
      </c>
      <c r="C56" s="6">
        <v>70.148632834935029</v>
      </c>
      <c r="D56" s="6">
        <v>58.78182791757223</v>
      </c>
      <c r="E56" s="6">
        <v>31.936256863578819</v>
      </c>
      <c r="F56" s="6">
        <v>37.708879083407098</v>
      </c>
      <c r="G56" s="7">
        <v>25.746224510984341</v>
      </c>
      <c r="H56" s="7">
        <v>39.258343897744169</v>
      </c>
      <c r="I56" s="7">
        <v>40.334962338737732</v>
      </c>
      <c r="J56" s="7">
        <v>45.990477810013722</v>
      </c>
      <c r="K56" s="7">
        <v>52.623937406646697</v>
      </c>
      <c r="L56" s="7">
        <v>48.325180067449203</v>
      </c>
      <c r="M56" s="7">
        <v>47.854317730154847</v>
      </c>
      <c r="N56" s="7">
        <v>55.52827603911588</v>
      </c>
      <c r="O56" s="7">
        <v>47.699625872205431</v>
      </c>
      <c r="P56" s="7">
        <v>61.301656364927361</v>
      </c>
      <c r="Q56" s="7">
        <v>57.698218862988149</v>
      </c>
      <c r="R56" s="7">
        <v>54.326915735605148</v>
      </c>
      <c r="S56" s="7">
        <v>47.39011394833912</v>
      </c>
      <c r="T56" s="7">
        <v>47.616569894280637</v>
      </c>
      <c r="U56" s="7">
        <v>70.228211941076935</v>
      </c>
      <c r="V56" s="7">
        <v>54.750450713192357</v>
      </c>
      <c r="W56" s="7">
        <v>66.542784462955453</v>
      </c>
      <c r="X56" s="7">
        <v>31.085730441440401</v>
      </c>
      <c r="Y56" s="7">
        <v>43.890472538383101</v>
      </c>
      <c r="Z56" s="7">
        <v>58.635766564789982</v>
      </c>
      <c r="AA56" s="7">
        <v>54.82949182313827</v>
      </c>
      <c r="AB56" s="7">
        <v>51.471854930330608</v>
      </c>
      <c r="AC56" s="7">
        <v>34.224552374947997</v>
      </c>
      <c r="AD56" s="7">
        <v>42.559348908837627</v>
      </c>
      <c r="AE56" s="7">
        <v>50.953023031798978</v>
      </c>
      <c r="AF56" s="7">
        <v>46.448723474348228</v>
      </c>
      <c r="AG56" s="7">
        <v>29.815883073618391</v>
      </c>
      <c r="AH56" s="7">
        <v>54.624385699947368</v>
      </c>
      <c r="AI56" s="7">
        <v>40.176366983642481</v>
      </c>
      <c r="AJ56" s="7">
        <v>40.217023414250171</v>
      </c>
      <c r="AK56" s="7">
        <v>38.706479450048157</v>
      </c>
      <c r="AL56" s="7">
        <v>43.284517286846473</v>
      </c>
      <c r="AM56" s="7">
        <v>41.569233836464583</v>
      </c>
      <c r="AN56" s="7">
        <v>60.391421812527987</v>
      </c>
      <c r="AO56" s="7">
        <v>29.781607097212891</v>
      </c>
      <c r="AP56" s="7">
        <v>30.92853103909442</v>
      </c>
      <c r="AQ56" s="7">
        <v>38.432639192378247</v>
      </c>
      <c r="AR56" s="7">
        <v>37.23937354219963</v>
      </c>
      <c r="AS56" s="10" t="s">
        <v>148</v>
      </c>
    </row>
    <row r="58" spans="1:45" x14ac:dyDescent="0.35">
      <c r="A58" s="1" t="s">
        <v>149</v>
      </c>
      <c r="B58" s="32">
        <v>2.062837E-2</v>
      </c>
      <c r="C58" s="3"/>
      <c r="D58" s="26"/>
    </row>
    <row r="60" spans="1:45" x14ac:dyDescent="0.35">
      <c r="A60" s="1" t="s">
        <v>150</v>
      </c>
      <c r="B60" s="6">
        <v>1000000</v>
      </c>
      <c r="C60" s="3"/>
    </row>
    <row r="62" spans="1:45" x14ac:dyDescent="0.35">
      <c r="A62" s="1" t="s">
        <v>151</v>
      </c>
      <c r="B62" s="6">
        <v>1000</v>
      </c>
      <c r="C62" s="3"/>
    </row>
    <row r="64" spans="1:45" x14ac:dyDescent="0.35">
      <c r="A64" s="1" t="s">
        <v>152</v>
      </c>
      <c r="B64" s="6">
        <v>2592000000</v>
      </c>
      <c r="C64" s="3"/>
    </row>
    <row r="66" spans="1:4" x14ac:dyDescent="0.35">
      <c r="A66" s="1" t="s">
        <v>154</v>
      </c>
      <c r="B66" s="6">
        <v>4</v>
      </c>
      <c r="C66" s="3" t="s">
        <v>155</v>
      </c>
    </row>
    <row r="68" spans="1:4" x14ac:dyDescent="0.35">
      <c r="A68" s="49" t="s">
        <v>153</v>
      </c>
      <c r="B68" s="6">
        <v>31</v>
      </c>
      <c r="C68" s="3" t="s">
        <v>156</v>
      </c>
      <c r="D68" t="s">
        <v>73</v>
      </c>
    </row>
    <row r="69" spans="1:4" x14ac:dyDescent="0.35">
      <c r="A69" s="49"/>
      <c r="B69" s="6">
        <v>30</v>
      </c>
      <c r="C69" s="3" t="s">
        <v>156</v>
      </c>
      <c r="D69" t="s">
        <v>74</v>
      </c>
    </row>
    <row r="70" spans="1:4" x14ac:dyDescent="0.35">
      <c r="A70" s="49"/>
      <c r="B70" s="6">
        <v>31</v>
      </c>
      <c r="C70" s="3" t="s">
        <v>156</v>
      </c>
      <c r="D70" t="s">
        <v>75</v>
      </c>
    </row>
    <row r="71" spans="1:4" x14ac:dyDescent="0.35">
      <c r="A71" s="49"/>
      <c r="B71" s="6">
        <v>31</v>
      </c>
      <c r="C71" s="3" t="s">
        <v>156</v>
      </c>
      <c r="D71" t="s">
        <v>64</v>
      </c>
    </row>
    <row r="72" spans="1:4" x14ac:dyDescent="0.35">
      <c r="A72" s="49"/>
      <c r="B72" s="6">
        <v>28</v>
      </c>
      <c r="C72" s="3" t="s">
        <v>156</v>
      </c>
      <c r="D72" t="s">
        <v>65</v>
      </c>
    </row>
    <row r="73" spans="1:4" x14ac:dyDescent="0.35">
      <c r="A73" s="49"/>
      <c r="B73" s="6">
        <v>31</v>
      </c>
      <c r="C73" s="3" t="s">
        <v>156</v>
      </c>
      <c r="D73" t="s">
        <v>66</v>
      </c>
    </row>
    <row r="74" spans="1:4" x14ac:dyDescent="0.35">
      <c r="A74" s="49"/>
      <c r="B74" s="6">
        <v>30</v>
      </c>
      <c r="C74" s="3" t="s">
        <v>156</v>
      </c>
      <c r="D74" t="s">
        <v>67</v>
      </c>
    </row>
    <row r="75" spans="1:4" x14ac:dyDescent="0.35">
      <c r="A75" s="49"/>
      <c r="B75" s="6">
        <v>31</v>
      </c>
      <c r="C75" s="3" t="s">
        <v>156</v>
      </c>
      <c r="D75" t="s">
        <v>68</v>
      </c>
    </row>
    <row r="76" spans="1:4" x14ac:dyDescent="0.35">
      <c r="A76" s="49"/>
      <c r="B76" s="6">
        <v>30</v>
      </c>
      <c r="C76" s="3" t="s">
        <v>156</v>
      </c>
      <c r="D76" t="s">
        <v>69</v>
      </c>
    </row>
    <row r="77" spans="1:4" x14ac:dyDescent="0.35">
      <c r="A77" s="49"/>
      <c r="B77" s="6">
        <v>31</v>
      </c>
      <c r="C77" s="3" t="s">
        <v>156</v>
      </c>
      <c r="D77" t="s">
        <v>70</v>
      </c>
    </row>
    <row r="78" spans="1:4" x14ac:dyDescent="0.35">
      <c r="A78" s="49"/>
      <c r="B78" s="6">
        <v>31</v>
      </c>
      <c r="C78" s="3" t="s">
        <v>156</v>
      </c>
      <c r="D78" t="s">
        <v>71</v>
      </c>
    </row>
    <row r="79" spans="1:4" x14ac:dyDescent="0.35">
      <c r="A79" s="49"/>
      <c r="B79" s="6">
        <v>30</v>
      </c>
      <c r="C79" s="3" t="s">
        <v>156</v>
      </c>
      <c r="D79" t="s">
        <v>72</v>
      </c>
    </row>
    <row r="81" spans="1:8" x14ac:dyDescent="0.35">
      <c r="A81" s="1" t="s">
        <v>190</v>
      </c>
      <c r="B81" s="8">
        <v>7.4282714893469324E-5</v>
      </c>
      <c r="C81" s="3" t="s">
        <v>191</v>
      </c>
    </row>
    <row r="82" spans="1:8" x14ac:dyDescent="0.35">
      <c r="A82" s="1" t="s">
        <v>213</v>
      </c>
      <c r="B82" s="8">
        <v>0.10232661778653393</v>
      </c>
      <c r="C82" s="3"/>
    </row>
    <row r="83" spans="1:8" x14ac:dyDescent="0.35">
      <c r="A83" s="1" t="s">
        <v>200</v>
      </c>
      <c r="B83" s="8">
        <v>0.18</v>
      </c>
      <c r="C83" s="3"/>
    </row>
    <row r="85" spans="1:8" s="4" customFormat="1" x14ac:dyDescent="0.35">
      <c r="A85" s="1" t="s">
        <v>192</v>
      </c>
      <c r="B85" s="8">
        <v>2.1460588617051922E-4</v>
      </c>
      <c r="C85" s="3" t="s">
        <v>191</v>
      </c>
    </row>
    <row r="86" spans="1:8" s="4" customFormat="1" x14ac:dyDescent="0.35">
      <c r="A86" s="1" t="s">
        <v>214</v>
      </c>
      <c r="B86" s="8">
        <v>-4.024887474587179E-3</v>
      </c>
      <c r="C86" s="3"/>
      <c r="D86" s="17"/>
      <c r="E86" s="17"/>
      <c r="F86" s="17"/>
      <c r="G86" s="18"/>
      <c r="H86" s="19"/>
    </row>
    <row r="87" spans="1:8" s="4" customFormat="1" x14ac:dyDescent="0.35">
      <c r="A87" s="1" t="s">
        <v>199</v>
      </c>
      <c r="B87" s="8">
        <v>4.0000000000000001E-3</v>
      </c>
      <c r="C87" s="3"/>
      <c r="D87" s="17"/>
      <c r="E87" s="17"/>
      <c r="F87" s="17"/>
      <c r="G87" s="18"/>
      <c r="H87" s="19"/>
    </row>
    <row r="88" spans="1:8" s="4" customFormat="1" x14ac:dyDescent="0.35">
      <c r="B88" s="17"/>
      <c r="C88" s="17"/>
      <c r="D88" s="17"/>
      <c r="E88" s="17"/>
      <c r="F88" s="17"/>
      <c r="G88" s="18"/>
      <c r="H88" s="19"/>
    </row>
    <row r="89" spans="1:8" s="4" customFormat="1" x14ac:dyDescent="0.35">
      <c r="A89" s="1" t="s">
        <v>193</v>
      </c>
      <c r="B89" s="8">
        <v>3.4443425623932567E-4</v>
      </c>
      <c r="C89" s="3" t="s">
        <v>191</v>
      </c>
      <c r="D89" s="17"/>
      <c r="E89" s="17"/>
      <c r="F89" s="17"/>
      <c r="G89" s="18"/>
      <c r="H89" s="19"/>
    </row>
    <row r="90" spans="1:8" s="4" customFormat="1" x14ac:dyDescent="0.35">
      <c r="A90" s="1" t="s">
        <v>215</v>
      </c>
      <c r="B90" s="8">
        <v>2.471934555475188E-2</v>
      </c>
      <c r="C90" s="3"/>
      <c r="D90" s="17"/>
      <c r="E90" s="17"/>
      <c r="F90" s="17"/>
      <c r="G90" s="18"/>
      <c r="H90" s="19"/>
    </row>
    <row r="91" spans="1:8" s="4" customFormat="1" x14ac:dyDescent="0.35">
      <c r="A91" s="1" t="s">
        <v>201</v>
      </c>
      <c r="B91" s="47">
        <v>0.2</v>
      </c>
      <c r="C91" s="3"/>
      <c r="D91" s="17"/>
      <c r="E91" s="17"/>
      <c r="F91" s="17"/>
      <c r="G91" s="18"/>
      <c r="H91" s="19"/>
    </row>
    <row r="92" spans="1:8" s="4" customFormat="1" x14ac:dyDescent="0.35">
      <c r="B92" s="17"/>
      <c r="C92" s="17"/>
      <c r="D92" s="17"/>
      <c r="E92" s="17"/>
      <c r="F92" s="17"/>
      <c r="G92" s="18"/>
      <c r="H92" s="19"/>
    </row>
    <row r="93" spans="1:8" x14ac:dyDescent="0.35">
      <c r="A93" s="16" t="s">
        <v>165</v>
      </c>
      <c r="B93" s="6">
        <v>0</v>
      </c>
      <c r="C93" s="10" t="s">
        <v>119</v>
      </c>
    </row>
    <row r="94" spans="1:8" s="26" customFormat="1" x14ac:dyDescent="0.35">
      <c r="A94" s="28"/>
      <c r="B94" s="17"/>
      <c r="C94" s="19"/>
    </row>
    <row r="95" spans="1:8" s="22" customFormat="1" x14ac:dyDescent="0.35">
      <c r="A95" s="16" t="s">
        <v>241</v>
      </c>
      <c r="B95" s="27">
        <v>3</v>
      </c>
      <c r="C95" s="10" t="s">
        <v>119</v>
      </c>
      <c r="D95" s="13"/>
    </row>
    <row r="97" spans="1:4" x14ac:dyDescent="0.35">
      <c r="A97" s="1" t="s">
        <v>157</v>
      </c>
      <c r="B97" s="31">
        <v>2.3688270000000001E-2</v>
      </c>
      <c r="C97" s="3"/>
      <c r="D97" s="26"/>
    </row>
    <row r="98" spans="1:4" x14ac:dyDescent="0.35">
      <c r="D98" s="26"/>
    </row>
    <row r="99" spans="1:4" x14ac:dyDescent="0.35">
      <c r="A99" s="1" t="s">
        <v>158</v>
      </c>
      <c r="B99" s="27">
        <v>170</v>
      </c>
      <c r="C99" s="3" t="s">
        <v>119</v>
      </c>
      <c r="D99" s="13"/>
    </row>
    <row r="100" spans="1:4" x14ac:dyDescent="0.35">
      <c r="D100" s="26"/>
    </row>
    <row r="101" spans="1:4" x14ac:dyDescent="0.35">
      <c r="A101" s="16" t="s">
        <v>159</v>
      </c>
      <c r="B101" s="6" t="s">
        <v>43</v>
      </c>
      <c r="C101" s="10"/>
      <c r="D101" s="26"/>
    </row>
    <row r="102" spans="1:4" x14ac:dyDescent="0.35">
      <c r="D102" s="26"/>
    </row>
    <row r="103" spans="1:4" x14ac:dyDescent="0.35">
      <c r="A103" s="1" t="s">
        <v>160</v>
      </c>
      <c r="B103" s="6">
        <v>150</v>
      </c>
      <c r="C103" s="3" t="s">
        <v>119</v>
      </c>
      <c r="D103" s="13"/>
    </row>
    <row r="104" spans="1:4" x14ac:dyDescent="0.35">
      <c r="D104" s="26"/>
    </row>
    <row r="105" spans="1:4" x14ac:dyDescent="0.35">
      <c r="A105" s="1" t="s">
        <v>161</v>
      </c>
      <c r="B105" s="6" t="s">
        <v>162</v>
      </c>
      <c r="C105" s="3"/>
      <c r="D105" s="26"/>
    </row>
    <row r="107" spans="1:4" x14ac:dyDescent="0.35">
      <c r="A107" s="1" t="s">
        <v>163</v>
      </c>
      <c r="B107" s="6" t="s">
        <v>54</v>
      </c>
      <c r="C107" s="3"/>
      <c r="D107" s="26"/>
    </row>
    <row r="109" spans="1:4" x14ac:dyDescent="0.35">
      <c r="A109" s="1" t="s">
        <v>164</v>
      </c>
      <c r="B109" s="6">
        <v>110</v>
      </c>
      <c r="C109" s="3" t="s">
        <v>119</v>
      </c>
      <c r="D109" s="13"/>
    </row>
    <row r="111" spans="1:4" x14ac:dyDescent="0.35">
      <c r="A111" s="23" t="s">
        <v>219</v>
      </c>
      <c r="B111" s="27">
        <v>177.8</v>
      </c>
      <c r="C111" s="25" t="s">
        <v>148</v>
      </c>
      <c r="D111" s="26"/>
    </row>
    <row r="113" spans="1:4" x14ac:dyDescent="0.35">
      <c r="A113" s="49" t="s">
        <v>204</v>
      </c>
      <c r="B113" s="24">
        <v>112</v>
      </c>
      <c r="C113" s="25" t="s">
        <v>237</v>
      </c>
      <c r="D113" s="22" t="s">
        <v>73</v>
      </c>
    </row>
    <row r="114" spans="1:4" x14ac:dyDescent="0.35">
      <c r="A114" s="49"/>
      <c r="B114" s="24">
        <v>120</v>
      </c>
      <c r="C114" s="25" t="s">
        <v>237</v>
      </c>
      <c r="D114" s="22" t="s">
        <v>74</v>
      </c>
    </row>
    <row r="115" spans="1:4" x14ac:dyDescent="0.35">
      <c r="A115" s="49"/>
      <c r="B115" s="24">
        <v>128</v>
      </c>
      <c r="C115" s="25" t="s">
        <v>237</v>
      </c>
      <c r="D115" s="22" t="s">
        <v>75</v>
      </c>
    </row>
    <row r="116" spans="1:4" x14ac:dyDescent="0.35">
      <c r="A116" s="49"/>
      <c r="B116" s="24">
        <v>136</v>
      </c>
      <c r="C116" s="25" t="s">
        <v>237</v>
      </c>
      <c r="D116" s="22" t="s">
        <v>64</v>
      </c>
    </row>
    <row r="117" spans="1:4" x14ac:dyDescent="0.35">
      <c r="A117" s="49"/>
      <c r="B117" s="24">
        <v>140</v>
      </c>
      <c r="C117" s="25" t="s">
        <v>237</v>
      </c>
      <c r="D117" s="22" t="s">
        <v>65</v>
      </c>
    </row>
    <row r="118" spans="1:4" x14ac:dyDescent="0.35">
      <c r="A118" s="49"/>
      <c r="B118" s="24">
        <v>144</v>
      </c>
      <c r="C118" s="25" t="s">
        <v>237</v>
      </c>
      <c r="D118" s="22" t="s">
        <v>66</v>
      </c>
    </row>
    <row r="119" spans="1:4" x14ac:dyDescent="0.35">
      <c r="A119" s="49"/>
      <c r="B119" s="24">
        <v>136</v>
      </c>
      <c r="C119" s="25" t="s">
        <v>237</v>
      </c>
      <c r="D119" s="22" t="s">
        <v>67</v>
      </c>
    </row>
    <row r="120" spans="1:4" x14ac:dyDescent="0.35">
      <c r="A120" s="49"/>
      <c r="B120" s="24">
        <v>128</v>
      </c>
      <c r="C120" s="25" t="s">
        <v>237</v>
      </c>
      <c r="D120" s="22" t="s">
        <v>68</v>
      </c>
    </row>
    <row r="121" spans="1:4" x14ac:dyDescent="0.35">
      <c r="A121" s="49"/>
      <c r="B121" s="24">
        <v>116</v>
      </c>
      <c r="C121" s="25" t="s">
        <v>237</v>
      </c>
      <c r="D121" s="22" t="s">
        <v>69</v>
      </c>
    </row>
    <row r="122" spans="1:4" x14ac:dyDescent="0.35">
      <c r="A122" s="49"/>
      <c r="B122" s="24">
        <v>96</v>
      </c>
      <c r="C122" s="25" t="s">
        <v>237</v>
      </c>
      <c r="D122" s="22" t="s">
        <v>70</v>
      </c>
    </row>
    <row r="123" spans="1:4" x14ac:dyDescent="0.35">
      <c r="A123" s="49"/>
      <c r="B123" s="24">
        <v>88</v>
      </c>
      <c r="C123" s="25" t="s">
        <v>237</v>
      </c>
      <c r="D123" s="22" t="s">
        <v>71</v>
      </c>
    </row>
    <row r="124" spans="1:4" x14ac:dyDescent="0.35">
      <c r="A124" s="49"/>
      <c r="B124" s="24">
        <v>100</v>
      </c>
      <c r="C124" s="25" t="s">
        <v>237</v>
      </c>
      <c r="D124" s="22" t="s">
        <v>72</v>
      </c>
    </row>
    <row r="126" spans="1:4" x14ac:dyDescent="0.35">
      <c r="A126" s="23" t="s">
        <v>238</v>
      </c>
      <c r="B126" s="24">
        <v>1.6</v>
      </c>
      <c r="C126" s="25" t="s">
        <v>240</v>
      </c>
    </row>
    <row r="128" spans="1:4" x14ac:dyDescent="0.35">
      <c r="A128" s="23" t="s">
        <v>239</v>
      </c>
      <c r="B128" s="24">
        <v>1.7</v>
      </c>
      <c r="C128" s="25" t="s">
        <v>240</v>
      </c>
    </row>
    <row r="130" spans="1:3" x14ac:dyDescent="0.35">
      <c r="A130" s="23" t="s">
        <v>243</v>
      </c>
      <c r="B130" s="24">
        <v>60</v>
      </c>
      <c r="C130" s="25" t="s">
        <v>242</v>
      </c>
    </row>
    <row r="131" spans="1:3" x14ac:dyDescent="0.35">
      <c r="A131" s="23" t="s">
        <v>244</v>
      </c>
      <c r="B131" s="24">
        <v>27</v>
      </c>
      <c r="C131" s="25" t="s">
        <v>242</v>
      </c>
    </row>
    <row r="132" spans="1:3" x14ac:dyDescent="0.35">
      <c r="A132" s="23" t="s">
        <v>245</v>
      </c>
      <c r="B132" s="24">
        <v>20</v>
      </c>
      <c r="C132" s="25" t="s">
        <v>242</v>
      </c>
    </row>
    <row r="133" spans="1:3" x14ac:dyDescent="0.35">
      <c r="A133" s="23" t="s">
        <v>246</v>
      </c>
      <c r="B133" s="24">
        <v>0</v>
      </c>
      <c r="C133" s="25" t="s">
        <v>242</v>
      </c>
    </row>
    <row r="135" spans="1:3" s="22" customFormat="1" x14ac:dyDescent="0.35">
      <c r="A135" s="23" t="s">
        <v>326</v>
      </c>
      <c r="B135" s="14">
        <v>0</v>
      </c>
      <c r="C135" s="25" t="s">
        <v>327</v>
      </c>
    </row>
    <row r="136" spans="1:3" s="22" customFormat="1" x14ac:dyDescent="0.35"/>
    <row r="137" spans="1:3" s="22" customFormat="1" x14ac:dyDescent="0.35">
      <c r="A137" s="23" t="s">
        <v>328</v>
      </c>
      <c r="B137" s="24">
        <v>0</v>
      </c>
      <c r="C137" s="25" t="s">
        <v>329</v>
      </c>
    </row>
    <row r="138" spans="1:3" s="22" customFormat="1" x14ac:dyDescent="0.35"/>
    <row r="139" spans="1:3" s="22" customFormat="1" x14ac:dyDescent="0.35">
      <c r="A139" s="23" t="s">
        <v>330</v>
      </c>
      <c r="B139" s="24">
        <v>0.5</v>
      </c>
      <c r="C139" s="25" t="s">
        <v>331</v>
      </c>
    </row>
    <row r="140" spans="1:3" s="22" customFormat="1" x14ac:dyDescent="0.35"/>
    <row r="141" spans="1:3" s="22" customFormat="1" x14ac:dyDescent="0.35">
      <c r="A141" s="23" t="s">
        <v>332</v>
      </c>
      <c r="B141" s="24">
        <v>2E-3</v>
      </c>
      <c r="C141" s="25" t="s">
        <v>333</v>
      </c>
    </row>
  </sheetData>
  <mergeCells count="2">
    <mergeCell ref="A68:A79"/>
    <mergeCell ref="A113:A1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885B-3BFC-4CDD-A5B1-642F50F9B54D}">
  <dimension ref="A2:E23"/>
  <sheetViews>
    <sheetView topLeftCell="A11" workbookViewId="0">
      <selection activeCell="B22" sqref="B22:B23"/>
    </sheetView>
  </sheetViews>
  <sheetFormatPr baseColWidth="10" defaultRowHeight="14.5" x14ac:dyDescent="0.35"/>
  <cols>
    <col min="1" max="1" width="27.54296875" style="22" bestFit="1" customWidth="1"/>
    <col min="2" max="2" width="14.26953125" style="22" bestFit="1" customWidth="1"/>
    <col min="3" max="4" width="10.90625" style="22"/>
    <col min="5" max="5" width="15.81640625" style="22" bestFit="1" customWidth="1"/>
    <col min="6" max="16384" width="10.90625" style="22"/>
  </cols>
  <sheetData>
    <row r="2" spans="1:5" x14ac:dyDescent="0.35">
      <c r="A2" s="53" t="s">
        <v>276</v>
      </c>
      <c r="B2" s="53" t="s">
        <v>277</v>
      </c>
      <c r="C2" s="55" t="s">
        <v>278</v>
      </c>
      <c r="D2" s="56"/>
      <c r="E2" s="56"/>
    </row>
    <row r="3" spans="1:5" x14ac:dyDescent="0.35">
      <c r="A3" s="54"/>
      <c r="B3" s="54"/>
      <c r="C3" s="35" t="s">
        <v>279</v>
      </c>
      <c r="D3" s="35" t="s">
        <v>280</v>
      </c>
      <c r="E3" s="35" t="s">
        <v>281</v>
      </c>
    </row>
    <row r="4" spans="1:5" x14ac:dyDescent="0.35">
      <c r="A4" s="50" t="s">
        <v>282</v>
      </c>
      <c r="B4" s="36" t="s">
        <v>283</v>
      </c>
      <c r="C4" s="37">
        <v>7.03</v>
      </c>
      <c r="D4" s="37">
        <v>47.79</v>
      </c>
      <c r="E4" s="37">
        <v>36.74</v>
      </c>
    </row>
    <row r="5" spans="1:5" x14ac:dyDescent="0.35">
      <c r="A5" s="51"/>
      <c r="B5" s="36" t="s">
        <v>284</v>
      </c>
      <c r="C5" s="37">
        <v>11.64</v>
      </c>
      <c r="D5" s="37">
        <v>159.81</v>
      </c>
      <c r="E5" s="37">
        <v>127.56</v>
      </c>
    </row>
    <row r="6" spans="1:5" x14ac:dyDescent="0.35">
      <c r="A6" s="51"/>
      <c r="B6" s="36" t="s">
        <v>285</v>
      </c>
      <c r="C6" s="37">
        <v>3.34</v>
      </c>
      <c r="D6" s="37">
        <v>368.5</v>
      </c>
      <c r="E6" s="37">
        <v>20.11</v>
      </c>
    </row>
    <row r="7" spans="1:5" x14ac:dyDescent="0.35">
      <c r="A7" s="51"/>
      <c r="B7" s="36" t="s">
        <v>286</v>
      </c>
      <c r="C7" s="37">
        <v>1.06</v>
      </c>
      <c r="D7" s="37">
        <v>182.07</v>
      </c>
      <c r="E7" s="37">
        <v>1.25</v>
      </c>
    </row>
    <row r="8" spans="1:5" x14ac:dyDescent="0.35">
      <c r="A8" s="52"/>
      <c r="B8" s="36" t="s">
        <v>287</v>
      </c>
      <c r="C8" s="37">
        <v>0.36</v>
      </c>
      <c r="D8" s="37">
        <v>178.03</v>
      </c>
      <c r="E8" s="37">
        <v>2.04</v>
      </c>
    </row>
    <row r="9" spans="1:5" x14ac:dyDescent="0.35">
      <c r="A9" s="50" t="s">
        <v>288</v>
      </c>
      <c r="B9" s="36" t="s">
        <v>283</v>
      </c>
      <c r="C9" s="37">
        <v>3.36</v>
      </c>
      <c r="D9" s="37">
        <v>26.6</v>
      </c>
      <c r="E9" s="37">
        <v>16.309999999999999</v>
      </c>
    </row>
    <row r="10" spans="1:5" x14ac:dyDescent="0.35">
      <c r="A10" s="51"/>
      <c r="B10" s="36" t="s">
        <v>284</v>
      </c>
      <c r="C10" s="37">
        <v>11.3</v>
      </c>
      <c r="D10" s="37">
        <v>62.71</v>
      </c>
      <c r="E10" s="37">
        <v>63.29</v>
      </c>
    </row>
    <row r="11" spans="1:5" x14ac:dyDescent="0.35">
      <c r="A11" s="51"/>
      <c r="B11" s="36" t="s">
        <v>285</v>
      </c>
      <c r="C11" s="37">
        <v>8.1300000000000008</v>
      </c>
      <c r="D11" s="37">
        <v>283.69</v>
      </c>
      <c r="E11" s="37">
        <v>114.95</v>
      </c>
    </row>
    <row r="12" spans="1:5" x14ac:dyDescent="0.35">
      <c r="A12" s="51"/>
      <c r="B12" s="36" t="s">
        <v>286</v>
      </c>
      <c r="C12" s="37">
        <v>2.21</v>
      </c>
      <c r="D12" s="37">
        <v>238.87</v>
      </c>
      <c r="E12" s="37">
        <v>5.8900000000000006</v>
      </c>
    </row>
    <row r="13" spans="1:5" x14ac:dyDescent="0.35">
      <c r="A13" s="52"/>
      <c r="B13" s="36" t="s">
        <v>287</v>
      </c>
      <c r="C13" s="37">
        <v>0.97</v>
      </c>
      <c r="D13" s="37">
        <v>336.2</v>
      </c>
      <c r="E13" s="37">
        <v>2.97</v>
      </c>
    </row>
    <row r="14" spans="1:5" x14ac:dyDescent="0.35">
      <c r="A14" s="50" t="s">
        <v>289</v>
      </c>
      <c r="B14" s="36" t="s">
        <v>283</v>
      </c>
      <c r="C14" s="37">
        <v>2.77</v>
      </c>
      <c r="D14" s="37">
        <v>27</v>
      </c>
      <c r="E14" s="37">
        <v>15.12</v>
      </c>
    </row>
    <row r="15" spans="1:5" x14ac:dyDescent="0.35">
      <c r="A15" s="51"/>
      <c r="B15" s="36" t="s">
        <v>284</v>
      </c>
      <c r="C15" s="37">
        <v>9.16</v>
      </c>
      <c r="D15" s="37">
        <v>43.31</v>
      </c>
      <c r="E15" s="37">
        <v>48.65</v>
      </c>
    </row>
    <row r="16" spans="1:5" x14ac:dyDescent="0.35">
      <c r="A16" s="51"/>
      <c r="B16" s="36" t="s">
        <v>285</v>
      </c>
      <c r="C16" s="37">
        <v>10.36</v>
      </c>
      <c r="D16" s="37">
        <v>211.3</v>
      </c>
      <c r="E16" s="37">
        <v>128.66999999999999</v>
      </c>
    </row>
    <row r="17" spans="1:5" x14ac:dyDescent="0.35">
      <c r="A17" s="51"/>
      <c r="B17" s="36" t="s">
        <v>286</v>
      </c>
      <c r="C17" s="37">
        <v>3.08</v>
      </c>
      <c r="D17" s="37">
        <v>297.69999999999987</v>
      </c>
      <c r="E17" s="37">
        <v>12.62</v>
      </c>
    </row>
    <row r="18" spans="1:5" x14ac:dyDescent="0.35">
      <c r="A18" s="52"/>
      <c r="B18" s="36" t="s">
        <v>287</v>
      </c>
      <c r="C18" s="37">
        <v>1.3</v>
      </c>
      <c r="D18" s="37">
        <v>374.2</v>
      </c>
      <c r="E18" s="37">
        <v>3.39</v>
      </c>
    </row>
    <row r="22" spans="1:5" x14ac:dyDescent="0.35">
      <c r="A22" s="23" t="s">
        <v>290</v>
      </c>
      <c r="B22" s="46">
        <v>5.9857142857142852E-2</v>
      </c>
      <c r="C22" s="25" t="s">
        <v>291</v>
      </c>
    </row>
    <row r="23" spans="1:5" x14ac:dyDescent="0.35">
      <c r="A23" s="23" t="s">
        <v>292</v>
      </c>
      <c r="B23" s="46">
        <v>2.6938775510204076E-3</v>
      </c>
      <c r="C23" s="25"/>
    </row>
  </sheetData>
  <mergeCells count="6">
    <mergeCell ref="A14:A18"/>
    <mergeCell ref="A2:A3"/>
    <mergeCell ref="B2:B3"/>
    <mergeCell ref="C2:E2"/>
    <mergeCell ref="A4:A8"/>
    <mergeCell ref="A9:A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FBB8-BCD8-466D-AEED-765191E2CCC7}">
  <dimension ref="A2:E60"/>
  <sheetViews>
    <sheetView topLeftCell="A30" workbookViewId="0">
      <selection activeCell="D44" sqref="D44"/>
    </sheetView>
  </sheetViews>
  <sheetFormatPr baseColWidth="10" defaultRowHeight="14.5" x14ac:dyDescent="0.35"/>
  <cols>
    <col min="1" max="1" width="31.36328125" style="22" customWidth="1"/>
    <col min="2" max="16384" width="10.90625" style="22"/>
  </cols>
  <sheetData>
    <row r="2" spans="1:5" x14ac:dyDescent="0.35">
      <c r="A2" s="23" t="s">
        <v>293</v>
      </c>
      <c r="B2" s="8" t="s">
        <v>294</v>
      </c>
      <c r="C2" s="8" t="s">
        <v>295</v>
      </c>
      <c r="D2" s="8" t="s">
        <v>296</v>
      </c>
    </row>
    <row r="3" spans="1:5" x14ac:dyDescent="0.35">
      <c r="A3" s="8" t="s">
        <v>297</v>
      </c>
      <c r="B3" s="27">
        <v>1260</v>
      </c>
      <c r="C3" s="27">
        <v>8489</v>
      </c>
      <c r="D3" s="27">
        <v>2</v>
      </c>
      <c r="E3" s="25" t="s">
        <v>298</v>
      </c>
    </row>
    <row r="4" spans="1:5" x14ac:dyDescent="0.35">
      <c r="A4" s="8" t="s">
        <v>299</v>
      </c>
      <c r="B4" s="27">
        <v>1</v>
      </c>
      <c r="C4" s="27">
        <v>506</v>
      </c>
      <c r="D4" s="27">
        <v>1</v>
      </c>
      <c r="E4" s="25" t="s">
        <v>298</v>
      </c>
    </row>
    <row r="5" spans="1:5" x14ac:dyDescent="0.35">
      <c r="A5" s="8" t="s">
        <v>300</v>
      </c>
      <c r="B5" s="27">
        <v>0</v>
      </c>
      <c r="C5" s="27">
        <v>5</v>
      </c>
      <c r="D5" s="27">
        <v>0</v>
      </c>
      <c r="E5" s="25" t="s">
        <v>298</v>
      </c>
    </row>
    <row r="6" spans="1:5" x14ac:dyDescent="0.35">
      <c r="A6" s="8" t="s">
        <v>301</v>
      </c>
      <c r="B6" s="27">
        <v>31042</v>
      </c>
      <c r="C6" s="27">
        <v>25386</v>
      </c>
      <c r="D6" s="27">
        <v>2</v>
      </c>
      <c r="E6" s="25" t="s">
        <v>298</v>
      </c>
    </row>
    <row r="7" spans="1:5" x14ac:dyDescent="0.35">
      <c r="A7" s="8" t="s">
        <v>302</v>
      </c>
      <c r="B7" s="27">
        <v>1971</v>
      </c>
      <c r="C7" s="27">
        <v>8</v>
      </c>
      <c r="D7" s="27">
        <v>3</v>
      </c>
      <c r="E7" s="25" t="s">
        <v>298</v>
      </c>
    </row>
    <row r="8" spans="1:5" x14ac:dyDescent="0.35">
      <c r="A8" s="8" t="s">
        <v>303</v>
      </c>
      <c r="B8" s="27">
        <v>0</v>
      </c>
      <c r="C8" s="27">
        <v>402</v>
      </c>
      <c r="D8" s="27">
        <v>0</v>
      </c>
      <c r="E8" s="25" t="s">
        <v>298</v>
      </c>
    </row>
    <row r="10" spans="1:5" x14ac:dyDescent="0.35">
      <c r="A10" s="23" t="s">
        <v>304</v>
      </c>
      <c r="B10" s="8" t="s">
        <v>294</v>
      </c>
      <c r="C10" s="8" t="s">
        <v>295</v>
      </c>
      <c r="D10" s="8" t="s">
        <v>296</v>
      </c>
    </row>
    <row r="11" spans="1:5" x14ac:dyDescent="0.35">
      <c r="A11" s="8" t="s">
        <v>297</v>
      </c>
      <c r="B11" s="14">
        <v>3.8010000000000001E-8</v>
      </c>
      <c r="C11" s="14">
        <v>-6.3145000000000001E-7</v>
      </c>
      <c r="D11" s="14">
        <v>1.5039E-8</v>
      </c>
      <c r="E11" s="25"/>
    </row>
    <row r="12" spans="1:5" x14ac:dyDescent="0.35">
      <c r="A12" s="8" t="s">
        <v>299</v>
      </c>
      <c r="B12" s="14">
        <v>0</v>
      </c>
      <c r="C12" s="14">
        <v>8.1813000000000006E-8</v>
      </c>
      <c r="D12" s="14">
        <v>1.3338E-8</v>
      </c>
      <c r="E12" s="25"/>
    </row>
    <row r="13" spans="1:5" x14ac:dyDescent="0.35">
      <c r="A13" s="8" t="s">
        <v>300</v>
      </c>
      <c r="B13" s="14">
        <v>0</v>
      </c>
      <c r="C13" s="14">
        <v>1.4649E-9</v>
      </c>
      <c r="D13" s="14">
        <v>0</v>
      </c>
      <c r="E13" s="25"/>
    </row>
    <row r="14" spans="1:5" x14ac:dyDescent="0.35">
      <c r="A14" s="8" t="s">
        <v>301</v>
      </c>
      <c r="B14" s="14">
        <v>-7.9411999999999997E-7</v>
      </c>
      <c r="C14" s="14">
        <v>-2.4084999999999999E-6</v>
      </c>
      <c r="D14" s="14">
        <v>2.0928999999999999E-7</v>
      </c>
      <c r="E14" s="25"/>
    </row>
    <row r="15" spans="1:5" x14ac:dyDescent="0.35">
      <c r="A15" s="8" t="s">
        <v>302</v>
      </c>
      <c r="B15" s="14">
        <v>3.4773E-7</v>
      </c>
      <c r="C15" s="14">
        <v>5.3007999999999997E-9</v>
      </c>
      <c r="D15" s="14">
        <v>1.8685999999999999E-8</v>
      </c>
      <c r="E15" s="25"/>
    </row>
    <row r="16" spans="1:5" x14ac:dyDescent="0.35">
      <c r="A16" s="8" t="s">
        <v>303</v>
      </c>
      <c r="B16" s="14">
        <v>0</v>
      </c>
      <c r="C16" s="14">
        <v>8.5609999999999997E-9</v>
      </c>
      <c r="D16" s="14">
        <v>0</v>
      </c>
      <c r="E16" s="25"/>
    </row>
    <row r="18" spans="1:5" x14ac:dyDescent="0.35">
      <c r="A18" s="23" t="s">
        <v>305</v>
      </c>
      <c r="B18" s="8" t="s">
        <v>294</v>
      </c>
      <c r="C18" s="8" t="s">
        <v>295</v>
      </c>
      <c r="D18" s="8" t="s">
        <v>296</v>
      </c>
    </row>
    <row r="19" spans="1:5" x14ac:dyDescent="0.35">
      <c r="A19" s="8" t="s">
        <v>297</v>
      </c>
      <c r="B19" s="31">
        <v>-83.912000000000006</v>
      </c>
      <c r="C19" s="31">
        <v>1693.4</v>
      </c>
      <c r="D19" s="31">
        <v>-26.213000000000001</v>
      </c>
      <c r="E19" s="25"/>
    </row>
    <row r="20" spans="1:5" x14ac:dyDescent="0.35">
      <c r="A20" s="8" t="s">
        <v>299</v>
      </c>
      <c r="B20" s="31">
        <v>0</v>
      </c>
      <c r="C20" s="31">
        <v>-149.35</v>
      </c>
      <c r="D20" s="31">
        <v>-23.427</v>
      </c>
      <c r="E20" s="25"/>
    </row>
    <row r="21" spans="1:5" x14ac:dyDescent="0.35">
      <c r="A21" s="8" t="s">
        <v>300</v>
      </c>
      <c r="B21" s="31">
        <v>0</v>
      </c>
      <c r="C21" s="31">
        <v>-2.6625999999999999</v>
      </c>
      <c r="D21" s="31">
        <v>0</v>
      </c>
      <c r="E21" s="25"/>
    </row>
    <row r="22" spans="1:5" x14ac:dyDescent="0.35">
      <c r="A22" s="8" t="s">
        <v>301</v>
      </c>
      <c r="B22" s="31">
        <v>2294.9</v>
      </c>
      <c r="C22" s="31">
        <v>7184.2</v>
      </c>
      <c r="D22" s="31">
        <v>-326.42</v>
      </c>
      <c r="E22" s="25"/>
    </row>
    <row r="23" spans="1:5" x14ac:dyDescent="0.35">
      <c r="A23" s="8" t="s">
        <v>302</v>
      </c>
      <c r="B23" s="31">
        <v>-493.94</v>
      </c>
      <c r="C23" s="31">
        <v>-8.7446999999999999</v>
      </c>
      <c r="D23" s="31">
        <v>-32.923000000000002</v>
      </c>
      <c r="E23" s="25"/>
    </row>
    <row r="24" spans="1:5" x14ac:dyDescent="0.35">
      <c r="A24" s="8" t="s">
        <v>303</v>
      </c>
      <c r="B24" s="31">
        <v>0</v>
      </c>
      <c r="C24" s="31">
        <v>-20.867999999999999</v>
      </c>
      <c r="D24" s="31">
        <v>0</v>
      </c>
      <c r="E24" s="25"/>
    </row>
    <row r="26" spans="1:5" x14ac:dyDescent="0.35">
      <c r="A26" s="23" t="s">
        <v>306</v>
      </c>
      <c r="B26" s="8" t="s">
        <v>294</v>
      </c>
      <c r="C26" s="8" t="s">
        <v>295</v>
      </c>
      <c r="D26" s="8" t="s">
        <v>296</v>
      </c>
    </row>
    <row r="27" spans="1:5" x14ac:dyDescent="0.35">
      <c r="A27" s="8" t="s">
        <v>297</v>
      </c>
      <c r="B27" s="27">
        <v>0</v>
      </c>
      <c r="C27" s="27">
        <v>0</v>
      </c>
      <c r="D27" s="27">
        <v>0</v>
      </c>
      <c r="E27" s="25"/>
    </row>
    <row r="28" spans="1:5" x14ac:dyDescent="0.35">
      <c r="A28" s="8" t="s">
        <v>299</v>
      </c>
      <c r="B28" s="27">
        <v>0</v>
      </c>
      <c r="C28" s="27">
        <v>0</v>
      </c>
      <c r="D28" s="27">
        <v>0</v>
      </c>
      <c r="E28" s="25"/>
    </row>
    <row r="29" spans="1:5" x14ac:dyDescent="0.35">
      <c r="A29" s="8" t="s">
        <v>300</v>
      </c>
      <c r="B29" s="27">
        <v>0</v>
      </c>
      <c r="C29" s="27">
        <v>0</v>
      </c>
      <c r="D29" s="27">
        <v>0</v>
      </c>
      <c r="E29" s="25"/>
    </row>
    <row r="30" spans="1:5" x14ac:dyDescent="0.35">
      <c r="A30" s="8" t="s">
        <v>301</v>
      </c>
      <c r="B30" s="27">
        <v>0</v>
      </c>
      <c r="C30" s="27">
        <v>0</v>
      </c>
      <c r="D30" s="27">
        <v>0</v>
      </c>
      <c r="E30" s="25"/>
    </row>
    <row r="31" spans="1:5" x14ac:dyDescent="0.35">
      <c r="A31" s="8" t="s">
        <v>302</v>
      </c>
      <c r="B31" s="27">
        <v>0</v>
      </c>
      <c r="C31" s="27">
        <v>0</v>
      </c>
      <c r="D31" s="27">
        <v>0</v>
      </c>
      <c r="E31" s="25"/>
    </row>
    <row r="32" spans="1:5" x14ac:dyDescent="0.35">
      <c r="A32" s="8" t="s">
        <v>303</v>
      </c>
      <c r="B32" s="27">
        <v>0</v>
      </c>
      <c r="C32" s="27">
        <v>0</v>
      </c>
      <c r="D32" s="27">
        <v>0</v>
      </c>
      <c r="E32" s="25"/>
    </row>
    <row r="34" spans="1:5" s="26" customFormat="1" x14ac:dyDescent="0.35">
      <c r="A34" s="23" t="s">
        <v>307</v>
      </c>
      <c r="B34" s="8" t="s">
        <v>294</v>
      </c>
      <c r="C34" s="8" t="s">
        <v>295</v>
      </c>
      <c r="D34" s="8" t="s">
        <v>296</v>
      </c>
      <c r="E34" s="22"/>
    </row>
    <row r="35" spans="1:5" s="26" customFormat="1" x14ac:dyDescent="0.35">
      <c r="A35" s="8" t="s">
        <v>297</v>
      </c>
      <c r="B35" s="12">
        <v>1</v>
      </c>
      <c r="C35" s="12">
        <v>0.93</v>
      </c>
      <c r="D35" s="12">
        <v>0.99</v>
      </c>
      <c r="E35" s="25"/>
    </row>
    <row r="36" spans="1:5" s="26" customFormat="1" x14ac:dyDescent="0.35">
      <c r="A36" s="8" t="s">
        <v>299</v>
      </c>
      <c r="B36" s="12">
        <v>1</v>
      </c>
      <c r="C36" s="12">
        <v>0.98</v>
      </c>
      <c r="D36" s="12">
        <v>1</v>
      </c>
      <c r="E36" s="25"/>
    </row>
    <row r="37" spans="1:5" x14ac:dyDescent="0.35">
      <c r="A37" s="8" t="s">
        <v>300</v>
      </c>
      <c r="B37" s="12">
        <v>1</v>
      </c>
      <c r="C37" s="12">
        <v>0.97</v>
      </c>
      <c r="D37" s="12">
        <v>1</v>
      </c>
      <c r="E37" s="25"/>
    </row>
    <row r="38" spans="1:5" x14ac:dyDescent="0.35">
      <c r="A38" s="8" t="s">
        <v>301</v>
      </c>
      <c r="B38" s="12">
        <v>0.96</v>
      </c>
      <c r="C38" s="12">
        <v>0.93</v>
      </c>
      <c r="D38" s="12">
        <v>1</v>
      </c>
      <c r="E38" s="25"/>
    </row>
    <row r="39" spans="1:5" x14ac:dyDescent="0.35">
      <c r="A39" s="8" t="s">
        <v>302</v>
      </c>
      <c r="B39" s="12">
        <v>0.95</v>
      </c>
      <c r="C39" s="12">
        <v>0.9</v>
      </c>
      <c r="D39" s="12">
        <v>0.99</v>
      </c>
      <c r="E39" s="25"/>
    </row>
    <row r="40" spans="1:5" x14ac:dyDescent="0.35">
      <c r="A40" s="8" t="s">
        <v>303</v>
      </c>
      <c r="B40" s="12">
        <v>1</v>
      </c>
      <c r="C40" s="12">
        <v>0.93</v>
      </c>
      <c r="D40" s="12">
        <v>1</v>
      </c>
      <c r="E40" s="25"/>
    </row>
    <row r="41" spans="1:5" x14ac:dyDescent="0.35">
      <c r="A41" s="26"/>
      <c r="B41" s="17"/>
      <c r="C41" s="17"/>
      <c r="D41" s="17"/>
      <c r="E41" s="26"/>
    </row>
    <row r="42" spans="1:5" x14ac:dyDescent="0.35">
      <c r="A42" s="23" t="s">
        <v>308</v>
      </c>
      <c r="B42" s="8" t="s">
        <v>294</v>
      </c>
      <c r="C42" s="8" t="s">
        <v>295</v>
      </c>
      <c r="D42" s="8" t="s">
        <v>296</v>
      </c>
    </row>
    <row r="43" spans="1:5" x14ac:dyDescent="0.35">
      <c r="A43" s="8" t="s">
        <v>297</v>
      </c>
      <c r="B43" s="38">
        <v>8.5859999999999994E-4</v>
      </c>
      <c r="C43" s="38">
        <v>7.9127999999999989E-4</v>
      </c>
      <c r="D43" s="27">
        <v>0</v>
      </c>
      <c r="E43" s="25" t="s">
        <v>309</v>
      </c>
    </row>
    <row r="44" spans="1:5" x14ac:dyDescent="0.35">
      <c r="A44" s="8" t="s">
        <v>299</v>
      </c>
      <c r="B44" s="38">
        <v>2.3531999999999999E-4</v>
      </c>
      <c r="C44" s="38">
        <v>2.3863999999999998E-4</v>
      </c>
      <c r="D44" s="27">
        <v>0</v>
      </c>
      <c r="E44" s="25" t="s">
        <v>309</v>
      </c>
    </row>
    <row r="45" spans="1:5" x14ac:dyDescent="0.35">
      <c r="A45" s="8" t="s">
        <v>300</v>
      </c>
      <c r="B45" s="38">
        <v>1.1447999999999999E-3</v>
      </c>
      <c r="C45" s="38">
        <v>1.0550399999999999E-3</v>
      </c>
      <c r="D45" s="27">
        <v>0</v>
      </c>
      <c r="E45" s="25" t="s">
        <v>309</v>
      </c>
    </row>
    <row r="46" spans="1:5" x14ac:dyDescent="0.35">
      <c r="A46" s="8" t="s">
        <v>301</v>
      </c>
      <c r="B46" s="38">
        <v>1.3991999999999997E-4</v>
      </c>
      <c r="C46" s="38">
        <v>1.3187999999999999E-4</v>
      </c>
      <c r="D46" s="27">
        <v>0</v>
      </c>
      <c r="E46" s="25" t="s">
        <v>309</v>
      </c>
    </row>
    <row r="47" spans="1:5" x14ac:dyDescent="0.35">
      <c r="A47" s="8" t="s">
        <v>302</v>
      </c>
      <c r="B47" s="38">
        <v>6.9959999999999987E-5</v>
      </c>
      <c r="C47" s="38">
        <v>7.8499999999999997E-5</v>
      </c>
      <c r="D47" s="27">
        <v>0</v>
      </c>
      <c r="E47" s="25" t="s">
        <v>309</v>
      </c>
    </row>
    <row r="48" spans="1:5" x14ac:dyDescent="0.35">
      <c r="A48" s="8" t="s">
        <v>303</v>
      </c>
      <c r="B48" s="38">
        <v>3.4979999999999999E-4</v>
      </c>
      <c r="C48" s="38">
        <v>3.1714000000000004E-4</v>
      </c>
      <c r="D48" s="27">
        <v>0</v>
      </c>
      <c r="E48" s="25" t="s">
        <v>309</v>
      </c>
    </row>
    <row r="49" spans="1:5" x14ac:dyDescent="0.35">
      <c r="A49" s="26"/>
      <c r="B49" s="17"/>
      <c r="C49" s="17"/>
      <c r="D49" s="17"/>
      <c r="E49" s="26"/>
    </row>
    <row r="50" spans="1:5" x14ac:dyDescent="0.35">
      <c r="A50" s="23" t="s">
        <v>310</v>
      </c>
      <c r="B50" s="7">
        <v>10000</v>
      </c>
      <c r="C50" s="25" t="s">
        <v>142</v>
      </c>
    </row>
    <row r="52" spans="1:5" x14ac:dyDescent="0.35">
      <c r="A52" s="23" t="s">
        <v>311</v>
      </c>
      <c r="B52" s="39">
        <v>0.02</v>
      </c>
      <c r="C52" s="25"/>
    </row>
    <row r="53" spans="1:5" x14ac:dyDescent="0.35">
      <c r="B53" s="40"/>
    </row>
    <row r="54" spans="1:5" x14ac:dyDescent="0.35">
      <c r="A54" s="23" t="s">
        <v>312</v>
      </c>
      <c r="B54" s="39">
        <v>0.04</v>
      </c>
      <c r="C54" s="25"/>
    </row>
    <row r="55" spans="1:5" x14ac:dyDescent="0.35">
      <c r="B55" s="40"/>
    </row>
    <row r="56" spans="1:5" x14ac:dyDescent="0.35">
      <c r="A56" s="23" t="s">
        <v>313</v>
      </c>
      <c r="B56" s="39">
        <v>0.08</v>
      </c>
      <c r="C56" s="25"/>
    </row>
    <row r="57" spans="1:5" x14ac:dyDescent="0.35">
      <c r="B57" s="40"/>
    </row>
    <row r="58" spans="1:5" x14ac:dyDescent="0.35">
      <c r="A58" s="23" t="s">
        <v>314</v>
      </c>
      <c r="B58" s="39">
        <v>0.2</v>
      </c>
      <c r="C58" s="25"/>
    </row>
    <row r="59" spans="1:5" x14ac:dyDescent="0.35">
      <c r="B59" s="40"/>
    </row>
    <row r="60" spans="1:5" x14ac:dyDescent="0.35">
      <c r="A60" s="23" t="s">
        <v>315</v>
      </c>
      <c r="B60" s="39">
        <v>0.4</v>
      </c>
      <c r="C60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268</vt:i4>
      </vt:variant>
    </vt:vector>
  </HeadingPairs>
  <TitlesOfParts>
    <vt:vector size="277" baseType="lpstr">
      <vt:lpstr>Land system</vt:lpstr>
      <vt:lpstr>Crop system</vt:lpstr>
      <vt:lpstr>Population system</vt:lpstr>
      <vt:lpstr>Energy</vt:lpstr>
      <vt:lpstr>Tourism system</vt:lpstr>
      <vt:lpstr>Carbon stock biomass</vt:lpstr>
      <vt:lpstr>Water system</vt:lpstr>
      <vt:lpstr>Floods</vt:lpstr>
      <vt:lpstr>Transport system</vt:lpstr>
      <vt:lpstr>ADAPTATION_DECAY_RATE_1</vt:lpstr>
      <vt:lpstr>ADAPTATION_EFFICIENCY</vt:lpstr>
      <vt:lpstr>ADAPTATION_INVESTMENT_RATE</vt:lpstr>
      <vt:lpstr>AGRICULTURAL_DEMAND_RATIO</vt:lpstr>
      <vt:lpstr>AGRICULTURE_VARIATION</vt:lpstr>
      <vt:lpstr>ALFA_1_AUTUMN</vt:lpstr>
      <vt:lpstr>ALFA_1_SPRING</vt:lpstr>
      <vt:lpstr>ALFA_1_SUMMER</vt:lpstr>
      <vt:lpstr>ALFA_1_WINTER</vt:lpstr>
      <vt:lpstr>ALFA_AUTUMN</vt:lpstr>
      <vt:lpstr>ALFA_BIRTHS</vt:lpstr>
      <vt:lpstr>ALFA_DEATHS</vt:lpstr>
      <vt:lpstr>ALFA_EDUCATION</vt:lpstr>
      <vt:lpstr>ALFA_ENERGY_POVERTY</vt:lpstr>
      <vt:lpstr>ALFA_POP_HIGHER_65</vt:lpstr>
      <vt:lpstr>ALFA_POP_LOWER_5</vt:lpstr>
      <vt:lpstr>ALFA_ROOMS</vt:lpstr>
      <vt:lpstr>ALFA_SPRING</vt:lpstr>
      <vt:lpstr>ALFA_SUMMER</vt:lpstr>
      <vt:lpstr>ALFA_UNEMPLOYED</vt:lpstr>
      <vt:lpstr>ALFA_WINTER</vt:lpstr>
      <vt:lpstr>ALPHA_VEHICLE_BUS</vt:lpstr>
      <vt:lpstr>ALPHA_VEHICLE_CAR</vt:lpstr>
      <vt:lpstr>ALPHA_VEHICLE_MOTORCYCLE</vt:lpstr>
      <vt:lpstr>ALPHA_VEHICLE_TRACTOR</vt:lpstr>
      <vt:lpstr>ALPHA_VEHICLE_TRUCK</vt:lpstr>
      <vt:lpstr>ALPHA_VEHICLE_VAN</vt:lpstr>
      <vt:lpstr>AREA_OCCUPIED_BY_SOLAR_PER_MW</vt:lpstr>
      <vt:lpstr>AVERAGE_EXPENDITURE_INCREASE</vt:lpstr>
      <vt:lpstr>BASELINE_PRODUCTION</vt:lpstr>
      <vt:lpstr>BEST_PROGRESS_SCENARIO</vt:lpstr>
      <vt:lpstr>BETA_1_AUTUMN</vt:lpstr>
      <vt:lpstr>BETA_1_SPRING</vt:lpstr>
      <vt:lpstr>BETA_1_SUMMER</vt:lpstr>
      <vt:lpstr>BETA_1_WINTER</vt:lpstr>
      <vt:lpstr>BETA_AUTUMN</vt:lpstr>
      <vt:lpstr>BETA_BIRTHS</vt:lpstr>
      <vt:lpstr>BETA_DEATHS</vt:lpstr>
      <vt:lpstr>BETA_EDUCATION</vt:lpstr>
      <vt:lpstr>BETA_ENERGY_POVERTY</vt:lpstr>
      <vt:lpstr>BETA_POP_HIGHER_65</vt:lpstr>
      <vt:lpstr>BETA_POP_LOWER_5</vt:lpstr>
      <vt:lpstr>BETA_ROOMS</vt:lpstr>
      <vt:lpstr>BETA_SPRING</vt:lpstr>
      <vt:lpstr>BETA_SUMMER</vt:lpstr>
      <vt:lpstr>BETA_UNEMPLOYED</vt:lpstr>
      <vt:lpstr>BETA_VEHICLE_BUS</vt:lpstr>
      <vt:lpstr>BETA_VEHICLE_CAR</vt:lpstr>
      <vt:lpstr>BETA_VEHICLE_MOTORCYCLE</vt:lpstr>
      <vt:lpstr>BETA_VEHICLE_TRACTOR</vt:lpstr>
      <vt:lpstr>BETA_VEHICLE_TRUCK</vt:lpstr>
      <vt:lpstr>BETA_VEHICLE_VAN</vt:lpstr>
      <vt:lpstr>BETA_WINTER</vt:lpstr>
      <vt:lpstr>BIOMASS_ENERGY_CONTENT</vt:lpstr>
      <vt:lpstr>BIOMASS_PERFORMANCE</vt:lpstr>
      <vt:lpstr>BUILDING_AREA</vt:lpstr>
      <vt:lpstr>BUILDING_DETERIORATION_RATE</vt:lpstr>
      <vt:lpstr>CARBON_TRANSFORMATION_CONSTANT</vt:lpstr>
      <vt:lpstr>CO2_FUTURE_DATA</vt:lpstr>
      <vt:lpstr>CO2_TIME</vt:lpstr>
      <vt:lpstr>CROP_DISTRIBUTION</vt:lpstr>
      <vt:lpstr>DAYS_INTERNATIONAL_VISITORS</vt:lpstr>
      <vt:lpstr>DAYS_NATIONAL_VISITORS</vt:lpstr>
      <vt:lpstr>DECAY_COEFFICIENT_FOREST_MANAGEMENT</vt:lpstr>
      <vt:lpstr>DECAY_GDP_PER_CAPITA_GROWTH_RATE</vt:lpstr>
      <vt:lpstr>DECAY_RATE_1</vt:lpstr>
      <vt:lpstr>DECAY_RATE_2</vt:lpstr>
      <vt:lpstr>DELAY_EDUCATION</vt:lpstr>
      <vt:lpstr>DISTANCE</vt:lpstr>
      <vt:lpstr>DISTANCE_COVERED</vt:lpstr>
      <vt:lpstr>DIVERSIFICATION_EFFICIENCY</vt:lpstr>
      <vt:lpstr>ECOLOGICAL_FLOW</vt:lpstr>
      <vt:lpstr>EFFECTS_OF_EXTREME_EVENTS</vt:lpstr>
      <vt:lpstr>ENERGY_CONSUMPTION_VARIATION_FACTOR</vt:lpstr>
      <vt:lpstr>EVAPORATION_FROM_STORAGE</vt:lpstr>
      <vt:lpstr>EXPANSION_RATIO</vt:lpstr>
      <vt:lpstr>EXPOSED_CROP_RATE</vt:lpstr>
      <vt:lpstr>EXPOSED_CROP_RATE_TIME</vt:lpstr>
      <vt:lpstr>FACTOR_HA_TO_KM2</vt:lpstr>
      <vt:lpstr>FOREST_MORTALITY_COEFFICIENT</vt:lpstr>
      <vt:lpstr>GAMMA_ROOMS</vt:lpstr>
      <vt:lpstr>GAMMA_UNEMPLOYED</vt:lpstr>
      <vt:lpstr>GDP_PER_CAPITA_GROWTH_RATE</vt:lpstr>
      <vt:lpstr>GOOD_PROGRESS_SCENARIO</vt:lpstr>
      <vt:lpstr>GRADUAL_PROGRESS_SCENARIO</vt:lpstr>
      <vt:lpstr>HISTORICAL_EXPENDITURE_FOR_INTERNATIONAL_VISITORS</vt:lpstr>
      <vt:lpstr>HISTORICAL_EXPENDITURE_FOR_NATIONAL_VISITORS</vt:lpstr>
      <vt:lpstr>HISTORICAL_INFLATION_RATE</vt:lpstr>
      <vt:lpstr>HOURS_IN_A_YEAR</vt:lpstr>
      <vt:lpstr>HYDRO_PERFORMANCE</vt:lpstr>
      <vt:lpstr>INCREASE_NON_RENEWABLE_CAPACITY</vt:lpstr>
      <vt:lpstr>INDUSTRY_VARIATION</vt:lpstr>
      <vt:lpstr>INFILTRATION_RATE</vt:lpstr>
      <vt:lpstr>INFLATION_RATE</vt:lpstr>
      <vt:lpstr>INITIAL_AGRICULTURAL_AREA</vt:lpstr>
      <vt:lpstr>INITIAL_ATTRACTIVENESS</vt:lpstr>
      <vt:lpstr>INITIAL_BIOMASS_CAPACITY</vt:lpstr>
      <vt:lpstr>INITIAL_BIOMASS_STOCK</vt:lpstr>
      <vt:lpstr>INITIAL_CONSUMPTION_PER_CAPITA</vt:lpstr>
      <vt:lpstr>INITIAL_DESALINATION</vt:lpstr>
      <vt:lpstr>INITIAL_EMISSION_FACTORS</vt:lpstr>
      <vt:lpstr>INITIAL_ENERGY_SHARE</vt:lpstr>
      <vt:lpstr>INITIAL_EXPOSED_CROPS</vt:lpstr>
      <vt:lpstr>INITIAL_EXPOSED_POPULATION</vt:lpstr>
      <vt:lpstr>INITIAL_FOREST_AREA</vt:lpstr>
      <vt:lpstr>INITIAL_GDP_PER_CAPITA</vt:lpstr>
      <vt:lpstr>INITIAL_GREEN_URBAN_AREA</vt:lpstr>
      <vt:lpstr>INITIAL_GROUNDWATER</vt:lpstr>
      <vt:lpstr>INITIAL_HYDRO_CAPACITY</vt:lpstr>
      <vt:lpstr>INITIAL_NON_RENEWABLE_CAPACITY</vt:lpstr>
      <vt:lpstr>INITIAL_OTHER_AREA</vt:lpstr>
      <vt:lpstr>INITIAL_POPULATION</vt:lpstr>
      <vt:lpstr>INITIAL_PROTECTED_FOREST_AREA</vt:lpstr>
      <vt:lpstr>INITIAL_PROTECTED_WETLANDS</vt:lpstr>
      <vt:lpstr>INITIAL_RATIO_BBS</vt:lpstr>
      <vt:lpstr>INITIAL_RATIO_BNE</vt:lpstr>
      <vt:lpstr>INITIAL_RATIO_ENERGY_PER_SNOW_PRODUCTION</vt:lpstr>
      <vt:lpstr>INITIAL_RATIO_TBE</vt:lpstr>
      <vt:lpstr>INITIAL_RATIO_TBS</vt:lpstr>
      <vt:lpstr>INITIAL_RATIO_TNE</vt:lpstr>
      <vt:lpstr>INITIAL_RATIO_WATER_PER_SNOW_PRODUCTION</vt:lpstr>
      <vt:lpstr>INITIAL_ROOFTOP_CAPACITY</vt:lpstr>
      <vt:lpstr>INITIAL_SOIL_MOISTURE</vt:lpstr>
      <vt:lpstr>INITIAL_SOLAR_CAPACITY</vt:lpstr>
      <vt:lpstr>INITIAL_STORAGE</vt:lpstr>
      <vt:lpstr>INITIAL_URBAN_AREA</vt:lpstr>
      <vt:lpstr>INITIAL_VEHICLES_BUS</vt:lpstr>
      <vt:lpstr>INITIAL_VEHICLES_CAR</vt:lpstr>
      <vt:lpstr>INITIAL_VEHICLES_MOTORCYCLE</vt:lpstr>
      <vt:lpstr>INITIAL_VEHICLES_TRACTOR</vt:lpstr>
      <vt:lpstr>INITIAL_VEHICLES_TRUCK</vt:lpstr>
      <vt:lpstr>INITIAL_VEHICLES_VAN</vt:lpstr>
      <vt:lpstr>INITIAL_WATER_AREA</vt:lpstr>
      <vt:lpstr>INITIAL_WATER_DEMAND_FROM_AGRICULTURE_PER_CAPITA</vt:lpstr>
      <vt:lpstr>INITIAL_WATER_DEMAND_FROM_INDUSTRY_PER_CAPITA</vt:lpstr>
      <vt:lpstr>INITIAL_WATER_DEMAND_FROM_URBAN_PER_CAPITA</vt:lpstr>
      <vt:lpstr>INITIAL_WATER_TREATMENT</vt:lpstr>
      <vt:lpstr>INITIAL_WETLANDS_AREA</vt:lpstr>
      <vt:lpstr>INITIAL_WIND_CAPACITY</vt:lpstr>
      <vt:lpstr>KG_TO_TONNES</vt:lpstr>
      <vt:lpstr>KWH_TO_MWH</vt:lpstr>
      <vt:lpstr>LEVEL_1_MURCIA</vt:lpstr>
      <vt:lpstr>LEVEL_2_MURCIA</vt:lpstr>
      <vt:lpstr>LEVEL_3_MURCIA</vt:lpstr>
      <vt:lpstr>LEVEL_4_MURCIA</vt:lpstr>
      <vt:lpstr>LIFETIME_BIOMASS</vt:lpstr>
      <vt:lpstr>LIFETIME_HYDRO</vt:lpstr>
      <vt:lpstr>LIFETIME_NON_RENEWABLE</vt:lpstr>
      <vt:lpstr>LIFETIME_ROOFTOP</vt:lpstr>
      <vt:lpstr>LIFETIME_SOLAR</vt:lpstr>
      <vt:lpstr>LIFETIME_WIND</vt:lpstr>
      <vt:lpstr>LIMIT_1_VEHICLE_GROWTH_BUS</vt:lpstr>
      <vt:lpstr>LIMIT_1_VEHICLE_GROWTH_CAR</vt:lpstr>
      <vt:lpstr>LIMIT_1_VEHICLE_GROWTH_MOTORCYCLE</vt:lpstr>
      <vt:lpstr>LIMIT_1_VEHICLE_GROWTH_TRACTOR</vt:lpstr>
      <vt:lpstr>LIMIT_1_VEHICLE_GROWTH_TRUCK</vt:lpstr>
      <vt:lpstr>LIMIT_1_VEHICLE_GROWTH_VAN</vt:lpstr>
      <vt:lpstr>LIMIT_2_VEHICLE_GROWTH_BUS</vt:lpstr>
      <vt:lpstr>LIMIT_2_VEHICLE_GROWTH_CAR</vt:lpstr>
      <vt:lpstr>LIMIT_2_VEHICLE_GROWTH_MOTORCYCLE</vt:lpstr>
      <vt:lpstr>LIMIT_2_VEHICLE_GROWTH_TRACTOR</vt:lpstr>
      <vt:lpstr>LIMIT_2_VEHICLE_GROWTH_TRUCK</vt:lpstr>
      <vt:lpstr>LIMIT_2_VEHICLE_GROWTH_VAN</vt:lpstr>
      <vt:lpstr>LIMIT_ENERGY_CONSUMPTION</vt:lpstr>
      <vt:lpstr>LIMIT_ENERGY_POVERTY</vt:lpstr>
      <vt:lpstr>LIMIT_UNEMPLOYED</vt:lpstr>
      <vt:lpstr>LIMITING_FACTOR_AGRICULTURE</vt:lpstr>
      <vt:lpstr>LIMITING_FACTOR_INDUSTRY</vt:lpstr>
      <vt:lpstr>LIMITING_FACTOR_URBAN</vt:lpstr>
      <vt:lpstr>LITERS_TO_HM3</vt:lpstr>
      <vt:lpstr>LOSSES_FACTOR</vt:lpstr>
      <vt:lpstr>M3_TO_HM3</vt:lpstr>
      <vt:lpstr>MAX_POTENTIAL_HYDRO</vt:lpstr>
      <vt:lpstr>MAX_POTENTIAL_ROOFTOP</vt:lpstr>
      <vt:lpstr>MAX_POTENTIAL_SOLAR</vt:lpstr>
      <vt:lpstr>MAX_POTENTIAL_WIND</vt:lpstr>
      <vt:lpstr>MEAN_FACTOR_OF_USE</vt:lpstr>
      <vt:lpstr>MEAN_TEMPERATURE_SSP245</vt:lpstr>
      <vt:lpstr>MEAN_TEMPERATURE_SSP245_TIME</vt:lpstr>
      <vt:lpstr>MEAN_TEMPERATURE_SSP585</vt:lpstr>
      <vt:lpstr>MEAN_TEMPERATURE_SSP585_TIME</vt:lpstr>
      <vt:lpstr>MINIMUM_DECOMMISSIONING_BIOMASS</vt:lpstr>
      <vt:lpstr>MINIMUM_DECOMMISSIONING_FOR_NEW_BIOMASS_CAPACITY</vt:lpstr>
      <vt:lpstr>MINIMUM_DECOMMISSIONING_FOR_NEW_HYDRO_CAPACITY</vt:lpstr>
      <vt:lpstr>MINIMUM_DECOMMISSIONING_FOR_NEW_NON_RENEWABLE_CAPACITY</vt:lpstr>
      <vt:lpstr>MINIMUM_DECOMMISSIONING_FOR_NEW_ROOFTOP_CAPACITY</vt:lpstr>
      <vt:lpstr>MINIMUM_DECOMMISSIONING_FOR_NEW_SOLAR_CAPACITY</vt:lpstr>
      <vt:lpstr>MINIMUM_DECOMMISSIONING_FOR_NEW_WIND_CAPACITY</vt:lpstr>
      <vt:lpstr>MINIMUM_DECOMMISSIONING_HYDRO</vt:lpstr>
      <vt:lpstr>MINIMUM_DECOMMISSIONING_NON_RENEWABLE</vt:lpstr>
      <vt:lpstr>MINIMUM_DECOMMISSIONING_ROOFTOP</vt:lpstr>
      <vt:lpstr>MINIMUM_DECOMMISSIONING_SOLAR</vt:lpstr>
      <vt:lpstr>MINIMUM_DECOMMISSIONING_WIND</vt:lpstr>
      <vt:lpstr>MINIMUM_SKI_DEPTH</vt:lpstr>
      <vt:lpstr>MM_PER_KM2_TO_M3</vt:lpstr>
      <vt:lpstr>MONTH_DAYS</vt:lpstr>
      <vt:lpstr>MWH_PER_HM3_DESALINATED_WATER</vt:lpstr>
      <vt:lpstr>MWH_PER_HM3_TREATED_WATER</vt:lpstr>
      <vt:lpstr>NON_RENEWABLE_PERFORMANCE</vt:lpstr>
      <vt:lpstr>NUMBER_OF_COLD_WAVES</vt:lpstr>
      <vt:lpstr>NUMBER_OF_DAYS_WITH_EXTREME_PRECIPITATION</vt:lpstr>
      <vt:lpstr>NUMBER_OF_DAYS_WITH_HIGH_WINDS</vt:lpstr>
      <vt:lpstr>NUMBER_OF_HEATWAVES</vt:lpstr>
      <vt:lpstr>NUMBER_OF_ROOMS</vt:lpstr>
      <vt:lpstr>NUMBER_OF_VERY_HOT_DAYS</vt:lpstr>
      <vt:lpstr>PERCOLATION_COEFFICIENT</vt:lpstr>
      <vt:lpstr>POPULATION_ADAPTATION_EFFICIENCY</vt:lpstr>
      <vt:lpstr>POPULATION_EXPOSED_GROWTH</vt:lpstr>
      <vt:lpstr>POPULATION_EXPOSED_GROWTH_TIME</vt:lpstr>
      <vt:lpstr>POPULATION_GROWTH_SSP245</vt:lpstr>
      <vt:lpstr>POPULATION_GROWTH_SSP585</vt:lpstr>
      <vt:lpstr>POPULATION_GROWTH_TIME</vt:lpstr>
      <vt:lpstr>PRECIPITATION_SSP245</vt:lpstr>
      <vt:lpstr>PRECIPITATION_SSP245_TIME</vt:lpstr>
      <vt:lpstr>PRECIPITATION_SSP585</vt:lpstr>
      <vt:lpstr>PRECIPITATION_SSP585_TIME</vt:lpstr>
      <vt:lpstr>RATIO_DROP_OUT_VEHICLES_FROM_10_TO_14_YEARS</vt:lpstr>
      <vt:lpstr>RATIO_DROP_OUT_VEHICLES_FROM_15_TO_19_YEARS</vt:lpstr>
      <vt:lpstr>RATIO_DROP_OUT_VEHICLES_FROM_5_TO_9_YEARS</vt:lpstr>
      <vt:lpstr>RATIO_DROP_OUT_VEHICLES_LESS_THAN_4_YEARS</vt:lpstr>
      <vt:lpstr>RATIO_DROP_OUT_VEHICLES_MORE_THAN_20_YEARS</vt:lpstr>
      <vt:lpstr>RATIO_IRRIGATED_CROP_AREA</vt:lpstr>
      <vt:lpstr>RATIO_RAINFED_CROP_AREA</vt:lpstr>
      <vt:lpstr>REFERENCE_CO2_2017</vt:lpstr>
      <vt:lpstr>REFERENCE_TEMPERATURE_2017</vt:lpstr>
      <vt:lpstr>ROOFTOP_PERFORMANCE</vt:lpstr>
      <vt:lpstr>RP10_DATA</vt:lpstr>
      <vt:lpstr>RP100_DATA</vt:lpstr>
      <vt:lpstr>RP50_DATA</vt:lpstr>
      <vt:lpstr>SECONDS_IN_A_MONTH</vt:lpstr>
      <vt:lpstr>SECURITY_COEFFICIENT</vt:lpstr>
      <vt:lpstr>SKI_SLOPE_AREA</vt:lpstr>
      <vt:lpstr>SNOWMELTING_FACTOR</vt:lpstr>
      <vt:lpstr>SOIL_WATER_CAPACITY</vt:lpstr>
      <vt:lpstr>SOLAR_PERFORMANCE</vt:lpstr>
      <vt:lpstr>SSP245_DROUGHTS</vt:lpstr>
      <vt:lpstr>SSP245_HEATWAVES</vt:lpstr>
      <vt:lpstr>SSP585_DROUGHTS</vt:lpstr>
      <vt:lpstr>SSP585_HAZARDS_TIME</vt:lpstr>
      <vt:lpstr>SSP585_HEATWAVES</vt:lpstr>
      <vt:lpstr>TCI_INDEX_SSP585</vt:lpstr>
      <vt:lpstr>TCI_INDEX_SSP585_TIME</vt:lpstr>
      <vt:lpstr>TCI_WEIGHT_IN_EXPOSURE</vt:lpstr>
      <vt:lpstr>TIME_BASELINE_PRODUCTION</vt:lpstr>
      <vt:lpstr>TIME_CROP_DISTRIBUTION</vt:lpstr>
      <vt:lpstr>TIME_GDP_PER_CAPITA</vt:lpstr>
      <vt:lpstr>TIME_INITIAL_AGRICULTURAL_AREA</vt:lpstr>
      <vt:lpstr>TIME_INITIAL_FOREST_AREA</vt:lpstr>
      <vt:lpstr>TIME_INITIAL_OTHER_AREA</vt:lpstr>
      <vt:lpstr>TIME_INITIAL_PROTECTED_FOREST_AREA</vt:lpstr>
      <vt:lpstr>TIME_INITIAL_URBAN_AREA</vt:lpstr>
      <vt:lpstr>TIME_INITIAL_WATER_AREA</vt:lpstr>
      <vt:lpstr>TIME_INITIAL_WETLANDS_AREA</vt:lpstr>
      <vt:lpstr>TIME_PROTECTED_WETLANDS</vt:lpstr>
      <vt:lpstr>TOTAL_RESERVOIR_CAPACITY</vt:lpstr>
      <vt:lpstr>TOURISM_FACTOR</vt:lpstr>
      <vt:lpstr>TRANSFORMATION_COEFFICIENT_ONE</vt:lpstr>
      <vt:lpstr>TRANSFORMATION_COEFFICIENT_TWO</vt:lpstr>
      <vt:lpstr>URBAN_VARIATION</vt:lpstr>
      <vt:lpstr>VEHICLES_EMISSION_COEFFICIENT_BUS</vt:lpstr>
      <vt:lpstr>VEHICLES_EMISSION_COEFFICIENT_CAR</vt:lpstr>
      <vt:lpstr>VEHICLES_EMISSION_COEFFICIENT_MOTORCYCLE</vt:lpstr>
      <vt:lpstr>VEHICLES_EMISSION_COEFFICIENT_TRACTOR</vt:lpstr>
      <vt:lpstr>VEHICLES_EMISSION_COEFFICIENT_TRUCK</vt:lpstr>
      <vt:lpstr>VEHICLES_EMISSION_COEFFICIENT_VAN</vt:lpstr>
      <vt:lpstr>WATER_CONSUMPTION</vt:lpstr>
      <vt:lpstr>WEIGHT_OF_EXTREME_EVENTS_IN_EXPOSURE</vt:lpstr>
      <vt:lpstr>WIND_PERFORMANCE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Barilari – CARTIF</dc:creator>
  <cp:lastModifiedBy>Sara Barilari – CARTIF</cp:lastModifiedBy>
  <dcterms:created xsi:type="dcterms:W3CDTF">2025-03-03T13:27:56Z</dcterms:created>
  <dcterms:modified xsi:type="dcterms:W3CDTF">2025-11-05T08:54:18Z</dcterms:modified>
</cp:coreProperties>
</file>